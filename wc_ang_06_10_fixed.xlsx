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49ce9d59f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agers" sheetId="1" r:id="R28300f9a60c74e4f"/>
    <x:sheet xmlns:r="http://schemas.openxmlformats.org/officeDocument/2006/relationships" name="Matches_1" sheetId="2" r:id="R67a8bb1d88874e52"/>
    <x:sheet xmlns:r="http://schemas.openxmlformats.org/officeDocument/2006/relationships" name="Predictions_1" sheetId="3" r:id="R72749c2aeaef4673"/>
    <x:sheet xmlns:r="http://schemas.openxmlformats.org/officeDocument/2006/relationships" name="Leaderboard_1" sheetId="4" r:id="R10e2cbe51de5492c"/>
    <x:sheet xmlns:r="http://schemas.openxmlformats.org/officeDocument/2006/relationships" name="DE_Teams" sheetId="5" r:id="Rbd4b9b957429438e"/>
    <x:sheet xmlns:r="http://schemas.openxmlformats.org/officeDocument/2006/relationships" name="DE_Players" sheetId="6" r:id="Refa820e7246d4797"/>
    <x:sheet xmlns:r="http://schemas.openxmlformats.org/officeDocument/2006/relationships" name="DE_Coaches" sheetId="7" r:id="Rf211ef3708ba456c"/>
    <x:sheet xmlns:r="http://schemas.openxmlformats.org/officeDocument/2006/relationships" name="Draft_Board" sheetId="8" r:id="R146350e0350642c5"/>
    <x:sheet xmlns:r="http://schemas.openxmlformats.org/officeDocument/2006/relationships" name="Futures" sheetId="9" r:id="R67669a84cc7e4bf0"/>
    <x:sheet xmlns:r="http://schemas.openxmlformats.org/officeDocument/2006/relationships" name="Matches_2" sheetId="10" r:id="R9ed03b183e8d4058"/>
    <x:sheet xmlns:r="http://schemas.openxmlformats.org/officeDocument/2006/relationships" name="Predictions_2" sheetId="11" r:id="Rf7309277d1dd4ed1"/>
    <x:sheet xmlns:r="http://schemas.openxmlformats.org/officeDocument/2006/relationships" name="Leaderboard_2" sheetId="12" r:id="R00c8d145a0454b41"/>
    <x:sheet xmlns:r="http://schemas.openxmlformats.org/officeDocument/2006/relationships" name="Landing_CSV" sheetId="13" r:id="R2b70a78ead4a490c"/>
  </x:sheets>
</x:workbook>
</file>

<file path=xl/sharedStrings.xml><?xml version="1.0" encoding="utf-8"?>
<x:sst xmlns:x="http://schemas.openxmlformats.org/spreadsheetml/2006/main">
  <x:si>
    <x:t xml:space="preserve">Manager_ID</x:t>
  </x:si>
  <x:si>
    <x:t xml:space="preserve">Manager_Name</x:t>
  </x:si>
  <x:si>
    <x:t xml:space="preserve">Display_Name</x:t>
  </x:si>
  <x:si>
    <x:t xml:space="preserve">Active</x:t>
  </x:si>
  <x:si>
    <x:t xml:space="preserve">Notes</x:t>
  </x:si>
  <x:si>
    <x:t xml:space="preserve">MVP Workflow</x:t>
  </x:si>
  <x:si>
    <x:t xml:space="preserve">M001</x:t>
  </x:si>
  <x:si>
    <x:t xml:space="preserve">Manager 1</x:t>
  </x:si>
  <x:si>
    <x:t xml:space="preserve">1</x:t>
  </x:si>
  <x:si>
    <x:t xml:space="preserve">Commissioner enters managers.</x:t>
  </x:si>
  <x:si>
    <x:t xml:space="preserve">M002</x:t>
  </x:si>
  <x:si>
    <x:t xml:space="preserve">Manager 2</x:t>
  </x:si>
  <x:si>
    <x:t xml:space="preserve">2</x:t>
  </x:si>
  <x:si>
    <x:t xml:space="preserve">Commissioner enters fixtures/results in Matches_1 and Matches_2.</x:t>
  </x:si>
  <x:si>
    <x:t xml:space="preserve">M003</x:t>
  </x:si>
  <x:si>
    <x:t xml:space="preserve">Manager 3</x:t>
  </x:si>
  <x:si>
    <x:t xml:space="preserve">3</x:t>
  </x:si>
  <x:si>
    <x:t xml:space="preserve">Commissioner enters predictions in Predictions_1 and Predictions_2.</x:t>
  </x:si>
  <x:si>
    <x:t xml:space="preserve">M004</x:t>
  </x:si>
  <x:si>
    <x:t xml:space="preserve">Manager 4</x:t>
  </x:si>
  <x:si>
    <x:t xml:space="preserve">4</x:t>
  </x:si>
  <x:si>
    <x:t xml:space="preserve">Commissioner updates draft eligible assets and draft board.</x:t>
  </x:si>
  <x:si>
    <x:t xml:space="preserve">M005</x:t>
  </x:si>
  <x:si>
    <x:t xml:space="preserve">Manager 5</x:t>
  </x:si>
  <x:si>
    <x:t xml:space="preserve">5</x:t>
  </x:si>
  <x:si>
    <x:t xml:space="preserve">Leaderboard tabs update automatically.</x:t>
  </x:si>
  <x:si>
    <x:t xml:space="preserve">M006</x:t>
  </x:si>
  <x:si>
    <x:t xml:space="preserve">Manager 6</x:t>
  </x:si>
  <x:si>
    <x:t xml:space="preserve">6</x:t>
  </x:si>
  <x:si>
    <x:t xml:space="preserve">Export Landing_CSV as CSV for website refresh.</x:t>
  </x:si>
  <x:si>
    <x:t xml:space="preserve">Match_ID</x:t>
  </x:si>
  <x:si>
    <x:t xml:space="preserve">Date</x:t>
  </x:si>
  <x:si>
    <x:t xml:space="preserve">Group</x:t>
  </x:si>
  <x:si>
    <x:t xml:space="preserve">Team_A</x:t>
  </x:si>
  <x:si>
    <x:t xml:space="preserve">Team_B</x:t>
  </x:si>
  <x:si>
    <x:t xml:space="preserve">Result</x:t>
  </x:si>
  <x:si>
    <x:t xml:space="preserve">G001</x:t>
  </x:si>
  <x:si>
    <x:t xml:space="preserve">A</x:t>
  </x:si>
  <x:si>
    <x:t xml:space="preserve">Team A</x:t>
  </x:si>
  <x:si>
    <x:t xml:space="preserve">Team B</x:t>
  </x:si>
  <x:si>
    <x:t xml:space="preserve">G002</x:t>
  </x:si>
  <x:si>
    <x:t xml:space="preserve">Team C</x:t>
  </x:si>
  <x:si>
    <x:t xml:space="preserve">Team D</x:t>
  </x:si>
  <x:si>
    <x:t xml:space="preserve">G003</x:t>
  </x:si>
  <x:si>
    <x:t xml:space="preserve">B</x:t>
  </x:si>
  <x:si>
    <x:t xml:space="preserve">Team E</x:t>
  </x:si>
  <x:si>
    <x:t xml:space="preserve">Team F</x:t>
  </x:si>
  <x:si>
    <x:t xml:space="preserve">G004</x:t>
  </x:si>
  <x:si>
    <x:t xml:space="preserve">Team G</x:t>
  </x:si>
  <x:si>
    <x:t xml:space="preserve">Team H</x:t>
  </x:si>
  <x:si>
    <x:t xml:space="preserve">Prediction</x:t>
  </x:si>
  <x:si>
    <x:t xml:space="preserve">Correct</x:t>
  </x:si>
  <x:si>
    <x:t xml:space="preserve">Points</x:t>
  </x:si>
  <x:si>
    <x:t xml:space="preserve">Rank</x:t>
  </x:si>
  <x:si>
    <x:t xml:space="preserve">Correct_Picks</x:t>
  </x:si>
  <x:si>
    <x:t xml:space="preserve">Team_ID</x:t>
  </x:si>
  <x:si>
    <x:t xml:space="preserve">Team_Name</x:t>
  </x:si>
  <x:si>
    <x:t xml:space="preserve">Tier</x:t>
  </x:si>
  <x:si>
    <x:t xml:space="preserve">Tier_Bonus</x:t>
  </x:si>
  <x:si>
    <x:t xml:space="preserve">Reached_QF</x:t>
  </x:si>
  <x:si>
    <x:t xml:space="preserve">Reached_SF</x:t>
  </x:si>
  <x:si>
    <x:t xml:space="preserve">Reached_Final</x:t>
  </x:si>
  <x:si>
    <x:t xml:space="preserve">Champion</x:t>
  </x:si>
  <x:si>
    <x:t xml:space="preserve">Advancement_Points</x:t>
  </x:si>
  <x:si>
    <x:t xml:space="preserve">Total_Team_Points</x:t>
  </x:si>
  <x:si>
    <x:t xml:space="preserve">T001</x:t>
  </x:si>
  <x:si>
    <x:t xml:space="preserve">T002</x:t>
  </x:si>
  <x:si>
    <x:t xml:space="preserve">T003</x:t>
  </x:si>
  <x:si>
    <x:t xml:space="preserve">C</x:t>
  </x:si>
  <x:si>
    <x:t xml:space="preserve">T004</x:t>
  </x:si>
  <x:si>
    <x:t xml:space="preserve">D</x:t>
  </x:si>
  <x:si>
    <x:t xml:space="preserve">Player_ID</x:t>
  </x:si>
  <x:si>
    <x:t xml:space="preserve">Player_Name</x:t>
  </x:si>
  <x:si>
    <x:t xml:space="preserve">Position</x:t>
  </x:si>
  <x:si>
    <x:t xml:space="preserve">Goals</x:t>
  </x:si>
  <x:si>
    <x:t xml:space="preserve">Assists</x:t>
  </x:si>
  <x:si>
    <x:t xml:space="preserve">MOTM</x:t>
  </x:si>
  <x:si>
    <x:t xml:space="preserve">Clean_Sheets</x:t>
  </x:si>
  <x:si>
    <x:t xml:space="preserve">Penalty_Saves</x:t>
  </x:si>
  <x:si>
    <x:t xml:space="preserve">Total_Player_Points</x:t>
  </x:si>
  <x:si>
    <x:t xml:space="preserve">P001</x:t>
  </x:si>
  <x:si>
    <x:t xml:space="preserve">Player 1</x:t>
  </x:si>
  <x:si>
    <x:t xml:space="preserve">FWD</x:t>
  </x:si>
  <x:si>
    <x:t xml:space="preserve">P002</x:t>
  </x:si>
  <x:si>
    <x:t xml:space="preserve">Player 2</x:t>
  </x:si>
  <x:si>
    <x:t xml:space="preserve">MID</x:t>
  </x:si>
  <x:si>
    <x:t xml:space="preserve">P003</x:t>
  </x:si>
  <x:si>
    <x:t xml:space="preserve">Player 3</x:t>
  </x:si>
  <x:si>
    <x:t xml:space="preserve">DEF</x:t>
  </x:si>
  <x:si>
    <x:t xml:space="preserve">P004</x:t>
  </x:si>
  <x:si>
    <x:t xml:space="preserve">Player 4</x:t>
  </x:si>
  <x:si>
    <x:t xml:space="preserve">GK</x:t>
  </x:si>
  <x:si>
    <x:t xml:space="preserve">Coach_ID</x:t>
  </x:si>
  <x:si>
    <x:t xml:space="preserve">Coach_Name</x:t>
  </x:si>
  <x:si>
    <x:t xml:space="preserve">Advancements</x:t>
  </x:si>
  <x:si>
    <x:t xml:space="preserve">Total_Coach_Points</x:t>
  </x:si>
  <x:si>
    <x:t xml:space="preserve">C001</x:t>
  </x:si>
  <x:si>
    <x:t xml:space="preserve">Coach 1</x:t>
  </x:si>
  <x:si>
    <x:t xml:space="preserve">C002</x:t>
  </x:si>
  <x:si>
    <x:t xml:space="preserve">Coach 2</x:t>
  </x:si>
  <x:si>
    <x:t xml:space="preserve">C003</x:t>
  </x:si>
  <x:si>
    <x:t xml:space="preserve">Coach 3</x:t>
  </x:si>
  <x:si>
    <x:t xml:space="preserve">C004</x:t>
  </x:si>
  <x:si>
    <x:t xml:space="preserve">Coach 4</x:t>
  </x:si>
  <x:si>
    <x:t xml:space="preserve">Round</x:t>
  </x:si>
  <x:si>
    <x:t xml:space="preserve">Pick</x:t>
  </x:si>
  <x:si>
    <x:t xml:space="preserve">Asset_Type</x:t>
  </x:si>
  <x:si>
    <x:t xml:space="preserve">Asset_ID</x:t>
  </x:si>
  <x:si>
    <x:t xml:space="preserve">Asset_Name</x:t>
  </x:si>
  <x:si>
    <x:t xml:space="preserve">Asset_Points</x:t>
  </x:si>
  <x:si>
    <x:t xml:space="preserve">Timestamp</x:t>
  </x:si>
  <x:si>
    <x:t xml:space="preserve">Champion_Pick</x:t>
  </x:si>
  <x:si>
    <x:t xml:space="preserve">Runner_Up_Pick</x:t>
  </x:si>
  <x:si>
    <x:t xml:space="preserve">Golden_Boot_Pick</x:t>
  </x:si>
  <x:si>
    <x:t xml:space="preserve">Player_Tournament_Pick</x:t>
  </x:si>
  <x:si>
    <x:t xml:space="preserve">Champion_Pts</x:t>
  </x:si>
  <x:si>
    <x:t xml:space="preserve">Runner_Up_Pts</x:t>
  </x:si>
  <x:si>
    <x:t xml:space="preserve">Golden_Boot_Pts</x:t>
  </x:si>
  <x:si>
    <x:t xml:space="preserve">POT_Pts</x:t>
  </x:si>
  <x:si>
    <x:t xml:space="preserve">Total_Futures_Points</x:t>
  </x:si>
  <x:si>
    <x:t xml:space="preserve">Submission_Time</x:t>
  </x:si>
  <x:si>
    <x:t xml:space="preserve">Locked</x:t>
  </x:si>
  <x:si>
    <x:t xml:space="preserve">Actual_Result</x:t>
  </x:si>
  <x:si>
    <x:t xml:space="preserve">Value</x:t>
  </x:si>
  <x:si>
    <x:t xml:space="preserve">Runner_Up</x:t>
  </x:si>
  <x:si>
    <x:t xml:space="preserve">Golden_Boot</x:t>
  </x:si>
  <x:si>
    <x:t xml:space="preserve">Player_Tournament</x:t>
  </x:si>
  <x:si>
    <x:t xml:space="preserve">Stage</x:t>
  </x:si>
  <x:si>
    <x:t xml:space="preserve">Winner</x:t>
  </x:si>
  <x:si>
    <x:t xml:space="preserve">Score_A</x:t>
  </x:si>
  <x:si>
    <x:t xml:space="preserve">Score_B</x:t>
  </x:si>
  <x:si>
    <x:t xml:space="preserve">Went_ET</x:t>
  </x:si>
  <x:si>
    <x:t xml:space="preserve">Went_Pens</x:t>
  </x:si>
  <x:si>
    <x:t xml:space="preserve">Status</x:t>
  </x:si>
  <x:si>
    <x:t xml:space="preserve">R32_01</x:t>
  </x:si>
  <x:si>
    <x:t xml:space="preserve">Round of 32</x:t>
  </x:si>
  <x:si>
    <x:t xml:space="preserve">Not Started</x:t>
  </x:si>
  <x:si>
    <x:t xml:space="preserve">Simple winner prediction</x:t>
  </x:si>
  <x:si>
    <x:t xml:space="preserve">R16_01</x:t>
  </x:si>
  <x:si>
    <x:t xml:space="preserve">Round of 16</x:t>
  </x:si>
  <x:si>
    <x:t xml:space="preserve">Winner R32_01</x:t>
  </x:si>
  <x:si>
    <x:t xml:space="preserve">Winner R32_02</x:t>
  </x:si>
  <x:si>
    <x:t xml:space="preserve">QF_01</x:t>
  </x:si>
  <x:si>
    <x:t xml:space="preserve">Quarterfinal</x:t>
  </x:si>
  <x:si>
    <x:t xml:space="preserve">Enhanced predictions start</x:t>
  </x:si>
  <x:si>
    <x:t xml:space="preserve">SF_01</x:t>
  </x:si>
  <x:si>
    <x:t xml:space="preserve">Semifinal</x:t>
  </x:si>
  <x:si>
    <x:t xml:space="preserve">F_01</x:t>
  </x:si>
  <x:si>
    <x:t xml:space="preserve">Final</x:t>
  </x:si>
  <x:si>
    <x:t xml:space="preserve">Winner_Pick</x:t>
  </x:si>
  <x:si>
    <x:t xml:space="preserve">Exact_Score_A</x:t>
  </x:si>
  <x:si>
    <x:t xml:space="preserve">Exact_Score_B</x:t>
  </x:si>
  <x:si>
    <x:t xml:space="preserve">Scorer_1</x:t>
  </x:si>
  <x:si>
    <x:t xml:space="preserve">Scorer_2</x:t>
  </x:si>
  <x:si>
    <x:t xml:space="preserve">Extra_Time</x:t>
  </x:si>
  <x:si>
    <x:t xml:space="preserve">Penalties</x:t>
  </x:si>
  <x:si>
    <x:t xml:space="preserve">Winner_Pts</x:t>
  </x:si>
  <x:si>
    <x:t xml:space="preserve">Exact_Score_Pts</x:t>
  </x:si>
  <x:si>
    <x:t xml:space="preserve">Scorer_Pts</x:t>
  </x:si>
  <x:si>
    <x:t xml:space="preserve">ET_Pts</x:t>
  </x:si>
  <x:si>
    <x:t xml:space="preserve">Pens_Pts</x:t>
  </x:si>
  <x:si>
    <x:t xml:space="preserve">Total_Points</x:t>
  </x:si>
  <x:si>
    <x:t xml:space="preserve">Group_Stage_Points</x:t>
  </x:si>
  <x:si>
    <x:t xml:space="preserve">Post_Group_Prediction_Points</x:t>
  </x:si>
  <x:si>
    <x:t xml:space="preserve">Draft_Points</x:t>
  </x:si>
  <x:si>
    <x:t xml:space="preserve">Futures_Points</x:t>
  </x:si>
  <x:si>
    <x:t xml:space="preserve">rank</x:t>
  </x:si>
  <x:si>
    <x:t xml:space="preserve">manager_name</x:t>
  </x:si>
  <x:si>
    <x:t xml:space="preserve">total_points</x:t>
  </x:si>
  <x:si>
    <x:t xml:space="preserve">group_stage_points</x:t>
  </x:si>
  <x:si>
    <x:t xml:space="preserve">post_group_prediction_points</x:t>
  </x:si>
  <x:si>
    <x:t xml:space="preserve">draft_points</x:t>
  </x:si>
  <x:si>
    <x:t xml:space="preserve">futures_points</x:t>
  </x:si>
  <x:si>
    <x:t xml:space="preserve">last_updated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</x:si>
</x:sst>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FFFFFF"/>
      <x:name val="Times New Roman"/>
    </x:font>
    <x:font>
      <x:sz val="11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CE4D6"/>
      </x:patternFill>
    </x:fill>
    <x:fill>
      <x:patternFill patternType="solid">
        <x:fgColor rgb="107C41"/>
      </x:patternFill>
    </x:fill>
    <x:fill>
      <x:patternFill patternType="solid">
        <x:fgColor rgb="7030A0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Font="1" applyFill="1" applyAlignment="1">
      <x:alignment horizontal="center"/>
    </x:xf>
    <x:xf numFmtId="0" fontId="2" fillId="3" borderId="0" xfId="0" applyFont="1" applyFill="1" applyAlignment="1">
      <x:alignment horizontal="center" wrapText="1"/>
    </x:xf>
    <x:xf numFmtId="0" fontId="1" fillId="4" borderId="0" xfId="0" applyFont="1" applyFill="1" applyAlignment="1">
      <x:alignment horizontal="center" vertical="center" wrapText="1"/>
    </x:xf>
    <x:xf numFmtId="0" fontId="3" fillId="2" borderId="0" xfId="0" applyFont="1" applyFill="1" applyAlignment="1">
      <x:alignment horizontal="center" vertical="center" wrapText="1"/>
    </x:xf>
    <x:xf numFmtId="0" fontId="4" fillId="0" borderId="0" xfId="0" applyFont="1" applyAlignment="1">
      <x:alignment wrapText="1"/>
    </x:xf>
    <x:xf numFmtId="0" fontId="4" fillId="0" borderId="0" xfId="0" applyFont="1"/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/>
    <x:xf numFmtId="0" fontId="3" fillId="5" borderId="0" xfId="0" applyFont="1" applyFill="1" applyAlignment="1">
      <x:alignment horizontal="center" wrapText="1"/>
    </x:xf>
    <x:xf numFmtId="0" fontId="0" fillId="0" borderId="0" xfId="0" applyAlignment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e773de2cb455e" /><Relationship Type="http://schemas.openxmlformats.org/officeDocument/2006/relationships/theme" Target="/xl/theme/theme1.xml" Id="R75093d0d488d40f0" /><Relationship Type="http://schemas.microsoft.com/office/2022/11/relationships/FeaturePropertyBag" Target="/xl/featurePropertyBag/featurePropertyBag.xml" Id="R446cef335fa1487e" /><Relationship Type="http://schemas.openxmlformats.org/officeDocument/2006/relationships/sharedStrings" Target="/xl/sharedStrings.xml" Id="R93525c2c17a24da3" /><Relationship Type="http://schemas.openxmlformats.org/officeDocument/2006/relationships/worksheet" Target="/xl/worksheets/sheet1.xml" Id="R28300f9a60c74e4f" /><Relationship Type="http://schemas.openxmlformats.org/officeDocument/2006/relationships/worksheet" Target="/xl/worksheets/sheet2.xml" Id="R67a8bb1d88874e52" /><Relationship Type="http://schemas.openxmlformats.org/officeDocument/2006/relationships/worksheet" Target="/xl/worksheets/sheet3.xml" Id="R72749c2aeaef4673" /><Relationship Type="http://schemas.openxmlformats.org/officeDocument/2006/relationships/worksheet" Target="/xl/worksheets/sheet4.xml" Id="R10e2cbe51de5492c" /><Relationship Type="http://schemas.openxmlformats.org/officeDocument/2006/relationships/worksheet" Target="/xl/worksheets/sheet5.xml" Id="Rbd4b9b957429438e" /><Relationship Type="http://schemas.openxmlformats.org/officeDocument/2006/relationships/worksheet" Target="/xl/worksheets/sheet6.xml" Id="Refa820e7246d4797" /><Relationship Type="http://schemas.openxmlformats.org/officeDocument/2006/relationships/worksheet" Target="/xl/worksheets/sheet7.xml" Id="Rf211ef3708ba456c" /><Relationship Type="http://schemas.openxmlformats.org/officeDocument/2006/relationships/worksheet" Target="/xl/worksheets/sheet8.xml" Id="R146350e0350642c5" /><Relationship Type="http://schemas.openxmlformats.org/officeDocument/2006/relationships/worksheet" Target="/xl/worksheets/sheet9.xml" Id="R67669a84cc7e4bf0" /><Relationship Type="http://schemas.openxmlformats.org/officeDocument/2006/relationships/worksheet" Target="/xl/worksheets/sheet10.xml" Id="R9ed03b183e8d4058" /><Relationship Type="http://schemas.openxmlformats.org/officeDocument/2006/relationships/worksheet" Target="/xl/worksheets/sheet11.xml" Id="Rf7309277d1dd4ed1" /><Relationship Type="http://schemas.openxmlformats.org/officeDocument/2006/relationships/worksheet" Target="/xl/worksheets/sheet12.xml" Id="R00c8d145a0454b41" /><Relationship Type="http://schemas.openxmlformats.org/officeDocument/2006/relationships/worksheet" Target="/xl/worksheets/sheet13.xml" Id="R2b70a78ead4a49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9.960000038146973" style="10" hidden="0" customWidth="1"/>
    <x:col min="2" max="2" width="13.1899995803833" style="10" hidden="0" customWidth="1"/>
    <x:col min="3" max="3" width="11.710000038146973" style="10" hidden="0" customWidth="1"/>
    <x:col min="4" max="4" width="4.980000019073486" style="10" hidden="0" customWidth="1"/>
    <x:col min="5" max="5" width="4.710000038146973" style="10" hidden="0" customWidth="1"/>
    <x:col min="6" max="6" width="16" style="10" customWidth="1"/>
    <x:col min="7" max="7" width="12.380000114440918" style="10" hidden="0" customWidth="1"/>
    <x:col min="8" max="8" width="54.90999984741211" style="13" hidden="0" customWidth="1"/>
    <x:col min="9" max="24" width="16" style="10" customWidth="1"/>
    <x:col min="25" max="16384" width="8.796875" style="10" customWidth="0"/>
  </x:cols>
  <x:sheetData>
    <x:row r="1" ht="22.350000381469727" customHeight="1">
      <x:c r="A1" s="32" t="s">
        <x:v>0</x:v>
      </x:c>
      <x:c r="B1" s="32" t="s">
        <x:v>1</x:v>
      </x:c>
      <x:c r="C1" s="32" t="s">
        <x:v>2</x:v>
      </x:c>
      <x:c r="D1" s="32" t="s">
        <x:v>3</x:v>
      </x:c>
      <x:c r="E1" s="32" t="s">
        <x:v>4</x:v>
      </x:c>
      <x:c r="F1" s="32"/>
      <x:c r="G1" s="32" t="s">
        <x:v>5</x:v>
      </x:c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40"/>
      <x:c r="Z1" s="40"/>
    </x:row>
    <x:row r="2">
      <x:c r="A2" s="11" t="s">
        <x:v>6</x:v>
      </x:c>
      <x:c r="B2" s="11" t="s">
        <x:v>7</x:v>
      </x:c>
      <x:c r="C2" s="11" t="s">
        <x:v>7</x:v>
      </x:c>
      <x:c r="D2" s="12" t="b">
        <x:v>1</x:v>
      </x:c>
      <x:c r="E2" s="11"/>
      <x:c r="F2" s="9"/>
      <x:c r="G2" s="9" t="s">
        <x:v>8</x:v>
      </x:c>
      <x:c r="H2" s="13" t="s">
        <x:v>9</x:v>
      </x:c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</x:row>
    <x:row r="3">
      <x:c r="A3" s="11" t="s">
        <x:v>10</x:v>
      </x:c>
      <x:c r="B3" s="11" t="s">
        <x:v>11</x:v>
      </x:c>
      <x:c r="C3" s="11" t="s">
        <x:v>11</x:v>
      </x:c>
      <x:c r="D3" s="12" t="b">
        <x:v>1</x:v>
      </x:c>
      <x:c r="E3" s="11"/>
      <x:c r="F3" s="9"/>
      <x:c r="G3" s="9" t="s">
        <x:v>12</x:v>
      </x:c>
      <x:c r="H3" s="13" t="s">
        <x:v>13</x:v>
      </x:c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</x:row>
    <x:row r="4">
      <x:c r="A4" s="11" t="s">
        <x:v>14</x:v>
      </x:c>
      <x:c r="B4" s="11" t="s">
        <x:v>15</x:v>
      </x:c>
      <x:c r="C4" s="11" t="s">
        <x:v>15</x:v>
      </x:c>
      <x:c r="D4" s="12" t="b">
        <x:v>1</x:v>
      </x:c>
      <x:c r="E4" s="11"/>
      <x:c r="F4" s="9"/>
      <x:c r="G4" s="9" t="s">
        <x:v>16</x:v>
      </x:c>
      <x:c r="H4" s="13" t="s">
        <x:v>17</x:v>
      </x:c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</x:row>
    <x:row r="5">
      <x:c r="A5" s="11" t="s">
        <x:v>18</x:v>
      </x:c>
      <x:c r="B5" s="11" t="s">
        <x:v>19</x:v>
      </x:c>
      <x:c r="C5" s="11" t="s">
        <x:v>19</x:v>
      </x:c>
      <x:c r="D5" s="12" t="b">
        <x:v>1</x:v>
      </x:c>
      <x:c r="E5" s="11"/>
      <x:c r="F5" s="9"/>
      <x:c r="G5" s="9" t="s">
        <x:v>20</x:v>
      </x:c>
      <x:c r="H5" s="13" t="s">
        <x:v>21</x:v>
      </x:c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</x:row>
    <x:row r="6">
      <x:c r="A6" s="11" t="s">
        <x:v>22</x:v>
      </x:c>
      <x:c r="B6" s="11" t="s">
        <x:v>23</x:v>
      </x:c>
      <x:c r="C6" s="11" t="s">
        <x:v>23</x:v>
      </x:c>
      <x:c r="D6" s="12" t="b">
        <x:v>1</x:v>
      </x:c>
      <x:c r="E6" s="11"/>
      <x:c r="F6" s="9"/>
      <x:c r="G6" s="9" t="s">
        <x:v>24</x:v>
      </x:c>
      <x:c r="H6" s="13" t="s">
        <x:v>25</x:v>
      </x:c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</x:row>
    <x:row r="7">
      <x:c r="A7" s="11" t="s">
        <x:v>26</x:v>
      </x:c>
      <x:c r="B7" s="11" t="s">
        <x:v>27</x:v>
      </x:c>
      <x:c r="C7" s="11" t="s">
        <x:v>27</x:v>
      </x:c>
      <x:c r="D7" s="12" t="b">
        <x:v>1</x:v>
      </x:c>
      <x:c r="E7" s="11"/>
      <x:c r="F7" s="9"/>
      <x:c r="G7" s="9" t="s">
        <x:v>28</x:v>
      </x:c>
      <x:c r="H7" s="13" t="s">
        <x:v>29</x:v>
      </x:c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</x:row>
    <x:row r="8">
      <x:c r="A8" s="9"/>
      <x:c r="B8" s="9"/>
      <x:c r="C8" s="9"/>
      <x:c r="D8" s="9"/>
      <x:c r="E8" s="9"/>
      <x:c r="F8" s="9"/>
      <x:c r="G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</x:row>
    <x:row r="9">
      <x:c r="A9" s="9"/>
      <x:c r="B9" s="9"/>
      <x:c r="C9" s="9"/>
      <x:c r="D9" s="9"/>
      <x:c r="E9" s="9"/>
      <x:c r="F9" s="9"/>
      <x:c r="G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</x:row>
    <x:row r="10">
      <x:c r="A10" s="9"/>
      <x:c r="B10" s="9"/>
      <x:c r="C10" s="9"/>
      <x:c r="D10" s="9"/>
      <x:c r="E10" s="9"/>
      <x:c r="F10" s="9"/>
      <x:c r="G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</x:row>
    <x:row r="11">
      <x:c r="A11" s="9"/>
      <x:c r="B11" s="9"/>
      <x:c r="C11" s="9"/>
      <x:c r="D11" s="9"/>
      <x:c r="E11" s="9"/>
      <x:c r="F11" s="9"/>
      <x:c r="G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</x:row>
    <x:row r="12">
      <x:c r="A12" s="9"/>
      <x:c r="B12" s="9"/>
      <x:c r="C12" s="9"/>
      <x:c r="D12" s="9"/>
      <x:c r="E12" s="9"/>
      <x:c r="F12" s="9"/>
      <x:c r="G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</x:row>
    <x:row r="13">
      <x:c r="A13" s="9"/>
      <x:c r="B13" s="9"/>
      <x:c r="C13" s="9"/>
      <x:c r="D13" s="9"/>
      <x:c r="E13" s="9"/>
      <x:c r="F13" s="9"/>
      <x:c r="G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</x:row>
    <x:row r="14">
      <x:c r="A14" s="9"/>
      <x:c r="B14" s="9"/>
      <x:c r="C14" s="9"/>
      <x:c r="D14" s="9"/>
      <x:c r="E14" s="9"/>
      <x:c r="F14" s="9"/>
      <x:c r="G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</x:row>
    <x:row r="15">
      <x:c r="A15" s="9"/>
      <x:c r="B15" s="9"/>
      <x:c r="C15" s="9"/>
      <x:c r="D15" s="9"/>
      <x:c r="E15" s="9"/>
      <x:c r="F15" s="9"/>
      <x:c r="G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</x:row>
    <x:row r="16">
      <x:c r="A16" s="9"/>
      <x:c r="B16" s="9"/>
      <x:c r="C16" s="9"/>
      <x:c r="D16" s="9"/>
      <x:c r="E16" s="9"/>
      <x:c r="F16" s="9"/>
      <x:c r="G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</x:row>
    <x:row r="17">
      <x:c r="A17" s="9"/>
      <x:c r="B17" s="9"/>
      <x:c r="C17" s="9"/>
      <x:c r="D17" s="9"/>
      <x:c r="E17" s="9"/>
      <x:c r="F17" s="9"/>
      <x:c r="G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</x:row>
    <x:row r="18">
      <x:c r="A18" s="9"/>
      <x:c r="B18" s="9"/>
      <x:c r="C18" s="9"/>
      <x:c r="D18" s="9"/>
      <x:c r="E18" s="9"/>
      <x:c r="F18" s="9"/>
      <x:c r="G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</x:row>
    <x:row r="19">
      <x:c r="A19" s="9"/>
      <x:c r="B19" s="9"/>
      <x:c r="C19" s="9"/>
      <x:c r="D19" s="9"/>
      <x:c r="E19" s="9"/>
      <x:c r="F19" s="9"/>
      <x:c r="G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</x:row>
    <x:row r="20">
      <x:c r="A20" s="9"/>
      <x:c r="B20" s="9"/>
      <x:c r="C20" s="9"/>
      <x:c r="D20" s="9"/>
      <x:c r="E20" s="9"/>
      <x:c r="F20" s="9"/>
      <x:c r="G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</x:row>
    <x:row r="21">
      <x:c r="A21" s="9"/>
      <x:c r="B21" s="9"/>
      <x:c r="C21" s="9"/>
      <x:c r="D21" s="9"/>
      <x:c r="E21" s="9"/>
      <x:c r="F21" s="9"/>
      <x:c r="G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</x:row>
    <x:row r="22">
      <x:c r="A22" s="9"/>
      <x:c r="B22" s="9"/>
      <x:c r="C22" s="9"/>
      <x:c r="D22" s="9"/>
      <x:c r="E22" s="9"/>
      <x:c r="F22" s="9"/>
      <x:c r="G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</x:row>
    <x:row r="23">
      <x:c r="A23" s="9"/>
      <x:c r="B23" s="9"/>
      <x:c r="C23" s="9"/>
      <x:c r="D23" s="9"/>
      <x:c r="E23" s="9"/>
      <x:c r="F23" s="9"/>
      <x:c r="G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</x:row>
    <x:row r="24">
      <x:c r="A24" s="9"/>
      <x:c r="B24" s="9"/>
      <x:c r="C24" s="9"/>
      <x:c r="D24" s="9"/>
      <x:c r="E24" s="9"/>
      <x:c r="F24" s="9"/>
      <x:c r="G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</x:row>
    <x:row r="25">
      <x:c r="A25" s="9"/>
      <x:c r="B25" s="9"/>
      <x:c r="C25" s="9"/>
      <x:c r="D25" s="9"/>
      <x:c r="E25" s="9"/>
      <x:c r="F25" s="9"/>
      <x:c r="G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</x:row>
    <x:row r="26">
      <x:c r="A26" s="9"/>
      <x:c r="B26" s="9"/>
      <x:c r="C26" s="9"/>
      <x:c r="D26" s="9"/>
      <x:c r="E26" s="9"/>
      <x:c r="F26" s="9"/>
      <x:c r="G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</x:row>
    <x:row r="27">
      <x:c r="A27" s="9"/>
      <x:c r="B27" s="9"/>
      <x:c r="C27" s="9"/>
      <x:c r="D27" s="9"/>
      <x:c r="E27" s="9"/>
      <x:c r="F27" s="9"/>
      <x:c r="G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</x:row>
    <x:row r="28">
      <x:c r="A28" s="9"/>
      <x:c r="B28" s="9"/>
      <x:c r="C28" s="9"/>
      <x:c r="D28" s="9"/>
      <x:c r="E28" s="9"/>
      <x:c r="F28" s="9"/>
      <x:c r="G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</x:row>
    <x:row r="29">
      <x:c r="A29" s="9"/>
      <x:c r="B29" s="9"/>
      <x:c r="C29" s="9"/>
      <x:c r="D29" s="9"/>
      <x:c r="E29" s="9"/>
      <x:c r="F29" s="9"/>
      <x:c r="G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</x:row>
    <x:row r="30">
      <x:c r="A30" s="9"/>
      <x:c r="B30" s="9"/>
      <x:c r="C30" s="9"/>
      <x:c r="D30" s="9"/>
      <x:c r="E30" s="9"/>
      <x:c r="F30" s="9"/>
      <x:c r="G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</x:row>
    <x:row r="31">
      <x:c r="A31" s="9"/>
      <x:c r="B31" s="9"/>
      <x:c r="C31" s="9"/>
      <x:c r="D31" s="9"/>
      <x:c r="E31" s="9"/>
      <x:c r="F31" s="9"/>
      <x:c r="G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</x:row>
    <x:row r="32">
      <x:c r="A32" s="9"/>
      <x:c r="B32" s="9"/>
      <x:c r="C32" s="9"/>
      <x:c r="D32" s="9"/>
      <x:c r="E32" s="9"/>
      <x:c r="F32" s="9"/>
      <x:c r="G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</x:row>
    <x:row r="33">
      <x:c r="A33" s="9"/>
      <x:c r="B33" s="9"/>
      <x:c r="C33" s="9"/>
      <x:c r="D33" s="9"/>
      <x:c r="E33" s="9"/>
      <x:c r="F33" s="9"/>
      <x:c r="G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</x:row>
    <x:row r="34">
      <x:c r="A34" s="9"/>
      <x:c r="B34" s="9"/>
      <x:c r="C34" s="9"/>
      <x:c r="D34" s="9"/>
      <x:c r="E34" s="9"/>
      <x:c r="F34" s="9"/>
      <x:c r="G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</x:row>
    <x:row r="35">
      <x:c r="A35" s="9"/>
      <x:c r="B35" s="9"/>
      <x:c r="C35" s="9"/>
      <x:c r="D35" s="9"/>
      <x:c r="E35" s="9"/>
      <x:c r="F35" s="9"/>
      <x:c r="G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</x:row>
    <x:row r="36">
      <x:c r="A36" s="9"/>
      <x:c r="B36" s="9"/>
      <x:c r="C36" s="9"/>
      <x:c r="D36" s="9"/>
      <x:c r="E36" s="9"/>
      <x:c r="F36" s="9"/>
      <x:c r="G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</x:row>
    <x:row r="37">
      <x:c r="A37" s="9"/>
      <x:c r="B37" s="9"/>
      <x:c r="C37" s="9"/>
      <x:c r="D37" s="9"/>
      <x:c r="E37" s="9"/>
      <x:c r="F37" s="9"/>
      <x:c r="G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</x:row>
    <x:row r="38">
      <x:c r="A38" s="9"/>
      <x:c r="B38" s="9"/>
      <x:c r="C38" s="9"/>
      <x:c r="D38" s="9"/>
      <x:c r="E38" s="9"/>
      <x:c r="F38" s="9"/>
      <x:c r="G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</x:row>
    <x:row r="39">
      <x:c r="A39" s="9"/>
      <x:c r="B39" s="9"/>
      <x:c r="C39" s="9"/>
      <x:c r="D39" s="9"/>
      <x:c r="E39" s="9"/>
      <x:c r="F39" s="9"/>
      <x:c r="G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</x:row>
    <x:row r="40">
      <x:c r="A40" s="9"/>
      <x:c r="B40" s="9"/>
      <x:c r="C40" s="9"/>
      <x:c r="D40" s="9"/>
      <x:c r="E40" s="9"/>
      <x:c r="F40" s="9"/>
      <x:c r="G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</x:row>
    <x:row r="41">
      <x:c r="A41" s="9"/>
      <x:c r="B41" s="9"/>
      <x:c r="C41" s="9"/>
      <x:c r="D41" s="9"/>
      <x:c r="E41" s="9"/>
      <x:c r="F41" s="9"/>
      <x:c r="G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</x:row>
    <x:row r="42">
      <x:c r="A42" s="9"/>
      <x:c r="B42" s="9"/>
      <x:c r="C42" s="9"/>
      <x:c r="D42" s="9"/>
      <x:c r="E42" s="9"/>
      <x:c r="F42" s="9"/>
      <x:c r="G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</x:row>
    <x:row r="43">
      <x:c r="A43" s="9"/>
      <x:c r="B43" s="9"/>
      <x:c r="C43" s="9"/>
      <x:c r="D43" s="9"/>
      <x:c r="E43" s="9"/>
      <x:c r="F43" s="9"/>
      <x:c r="G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</x:row>
    <x:row r="44">
      <x:c r="A44" s="9"/>
      <x:c r="B44" s="9"/>
      <x:c r="C44" s="9"/>
      <x:c r="D44" s="9"/>
      <x:c r="E44" s="9"/>
      <x:c r="F44" s="9"/>
      <x:c r="G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</x:row>
    <x:row r="45">
      <x:c r="A45" s="9"/>
      <x:c r="B45" s="9"/>
      <x:c r="C45" s="9"/>
      <x:c r="D45" s="9"/>
      <x:c r="E45" s="9"/>
      <x:c r="F45" s="9"/>
      <x:c r="G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</x:row>
    <x:row r="46">
      <x:c r="A46" s="9"/>
      <x:c r="B46" s="9"/>
      <x:c r="C46" s="9"/>
      <x:c r="D46" s="9"/>
      <x:c r="E46" s="9"/>
      <x:c r="F46" s="9"/>
      <x:c r="G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</x:row>
    <x:row r="47">
      <x:c r="A47" s="9"/>
      <x:c r="B47" s="9"/>
      <x:c r="C47" s="9"/>
      <x:c r="D47" s="9"/>
      <x:c r="E47" s="9"/>
      <x:c r="F47" s="9"/>
      <x:c r="G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</x:row>
    <x:row r="48">
      <x:c r="A48" s="9"/>
      <x:c r="B48" s="9"/>
      <x:c r="C48" s="9"/>
      <x:c r="D48" s="9"/>
      <x:c r="E48" s="9"/>
      <x:c r="F48" s="9"/>
      <x:c r="G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</x:row>
    <x:row r="49">
      <x:c r="A49" s="9"/>
      <x:c r="B49" s="9"/>
      <x:c r="C49" s="9"/>
      <x:c r="D49" s="9"/>
      <x:c r="E49" s="9"/>
      <x:c r="F49" s="9"/>
      <x:c r="G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</x:row>
    <x:row r="50">
      <x:c r="A50" s="9"/>
      <x:c r="B50" s="9"/>
      <x:c r="C50" s="9"/>
      <x:c r="D50" s="9"/>
      <x:c r="E50" s="9"/>
      <x:c r="F50" s="9"/>
      <x:c r="G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</x:row>
    <x:row r="51">
      <x:c r="A51" s="9"/>
      <x:c r="B51" s="9"/>
      <x:c r="C51" s="9"/>
      <x:c r="D51" s="9"/>
      <x:c r="E51" s="9"/>
      <x:c r="F51" s="9"/>
      <x:c r="G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</x:row>
    <x:row r="52">
      <x:c r="A52" s="9"/>
      <x:c r="B52" s="9"/>
      <x:c r="C52" s="9"/>
      <x:c r="D52" s="9"/>
      <x:c r="E52" s="9"/>
      <x:c r="F52" s="9"/>
      <x:c r="G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</x:row>
    <x:row r="53">
      <x:c r="A53" s="9"/>
      <x:c r="B53" s="9"/>
      <x:c r="C53" s="9"/>
      <x:c r="D53" s="9"/>
      <x:c r="E53" s="9"/>
      <x:c r="F53" s="9"/>
      <x:c r="G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</x:row>
    <x:row r="54">
      <x:c r="A54" s="9"/>
      <x:c r="B54" s="9"/>
      <x:c r="C54" s="9"/>
      <x:c r="D54" s="9"/>
      <x:c r="E54" s="9"/>
      <x:c r="F54" s="9"/>
      <x:c r="G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</x:row>
    <x:row r="55">
      <x:c r="A55" s="9"/>
      <x:c r="B55" s="9"/>
      <x:c r="C55" s="9"/>
      <x:c r="D55" s="9"/>
      <x:c r="E55" s="9"/>
      <x:c r="F55" s="9"/>
      <x:c r="G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</x:row>
    <x:row r="56">
      <x:c r="A56" s="9"/>
      <x:c r="B56" s="9"/>
      <x:c r="C56" s="9"/>
      <x:c r="D56" s="9"/>
      <x:c r="E56" s="9"/>
      <x:c r="F56" s="9"/>
      <x:c r="G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</x:row>
    <x:row r="57">
      <x:c r="A57" s="9"/>
      <x:c r="B57" s="9"/>
      <x:c r="C57" s="9"/>
      <x:c r="D57" s="9"/>
      <x:c r="E57" s="9"/>
      <x:c r="F57" s="9"/>
      <x:c r="G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</x:row>
    <x:row r="58">
      <x:c r="A58" s="9"/>
      <x:c r="B58" s="9"/>
      <x:c r="C58" s="9"/>
      <x:c r="D58" s="9"/>
      <x:c r="E58" s="9"/>
      <x:c r="F58" s="9"/>
      <x:c r="G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</x:row>
    <x:row r="59">
      <x:c r="A59" s="9"/>
      <x:c r="B59" s="9"/>
      <x:c r="C59" s="9"/>
      <x:c r="D59" s="9"/>
      <x:c r="E59" s="9"/>
      <x:c r="F59" s="9"/>
      <x:c r="G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</x:row>
    <x:row r="60">
      <x:c r="A60" s="9"/>
      <x:c r="B60" s="9"/>
      <x:c r="C60" s="9"/>
      <x:c r="D60" s="9"/>
      <x:c r="E60" s="9"/>
      <x:c r="F60" s="9"/>
      <x:c r="G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</x:row>
    <x:row r="61">
      <x:c r="A61" s="9"/>
      <x:c r="B61" s="9"/>
      <x:c r="C61" s="9"/>
      <x:c r="D61" s="9"/>
      <x:c r="E61" s="9"/>
      <x:c r="F61" s="9"/>
      <x:c r="G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</x:row>
    <x:row r="62">
      <x:c r="A62" s="9"/>
      <x:c r="B62" s="9"/>
      <x:c r="C62" s="9"/>
      <x:c r="D62" s="9"/>
      <x:c r="E62" s="9"/>
      <x:c r="F62" s="9"/>
      <x:c r="G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</x:row>
    <x:row r="63">
      <x:c r="A63" s="9"/>
      <x:c r="B63" s="9"/>
      <x:c r="C63" s="9"/>
      <x:c r="D63" s="9"/>
      <x:c r="E63" s="9"/>
      <x:c r="F63" s="9"/>
      <x:c r="G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</x:row>
    <x:row r="64">
      <x:c r="A64" s="9"/>
      <x:c r="B64" s="9"/>
      <x:c r="C64" s="9"/>
      <x:c r="D64" s="9"/>
      <x:c r="E64" s="9"/>
      <x:c r="F64" s="9"/>
      <x:c r="G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</x:row>
    <x:row r="65">
      <x:c r="A65" s="9"/>
      <x:c r="B65" s="9"/>
      <x:c r="C65" s="9"/>
      <x:c r="D65" s="9"/>
      <x:c r="E65" s="9"/>
      <x:c r="F65" s="9"/>
      <x:c r="G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</x:row>
    <x:row r="66">
      <x:c r="A66" s="9"/>
      <x:c r="B66" s="9"/>
      <x:c r="C66" s="9"/>
      <x:c r="D66" s="9"/>
      <x:c r="E66" s="9"/>
      <x:c r="F66" s="9"/>
      <x:c r="G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</x:row>
    <x:row r="67">
      <x:c r="A67" s="9"/>
      <x:c r="B67" s="9"/>
      <x:c r="C67" s="9"/>
      <x:c r="D67" s="9"/>
      <x:c r="E67" s="9"/>
      <x:c r="F67" s="9"/>
      <x:c r="G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</x:row>
    <x:row r="68">
      <x:c r="A68" s="9"/>
      <x:c r="B68" s="9"/>
      <x:c r="C68" s="9"/>
      <x:c r="D68" s="9"/>
      <x:c r="E68" s="9"/>
      <x:c r="F68" s="9"/>
      <x:c r="G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</x:row>
    <x:row r="69">
      <x:c r="A69" s="9"/>
      <x:c r="B69" s="9"/>
      <x:c r="C69" s="9"/>
      <x:c r="D69" s="9"/>
      <x:c r="E69" s="9"/>
      <x:c r="F69" s="9"/>
      <x:c r="G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</x:row>
    <x:row r="70">
      <x:c r="A70" s="9"/>
      <x:c r="B70" s="9"/>
      <x:c r="C70" s="9"/>
      <x:c r="D70" s="9"/>
      <x:c r="E70" s="9"/>
      <x:c r="F70" s="9"/>
      <x:c r="G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</x:row>
    <x:row r="71">
      <x:c r="A71" s="9"/>
      <x:c r="B71" s="9"/>
      <x:c r="C71" s="9"/>
      <x:c r="D71" s="9"/>
      <x:c r="E71" s="9"/>
      <x:c r="F71" s="9"/>
      <x:c r="G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</x:row>
    <x:row r="72">
      <x:c r="A72" s="9"/>
      <x:c r="B72" s="9"/>
      <x:c r="C72" s="9"/>
      <x:c r="D72" s="9"/>
      <x:c r="E72" s="9"/>
      <x:c r="F72" s="9"/>
      <x:c r="G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</x:row>
    <x:row r="73">
      <x:c r="A73" s="9"/>
      <x:c r="B73" s="9"/>
      <x:c r="C73" s="9"/>
      <x:c r="D73" s="9"/>
      <x:c r="E73" s="9"/>
      <x:c r="F73" s="9"/>
      <x:c r="G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</x:row>
    <x:row r="74">
      <x:c r="A74" s="9"/>
      <x:c r="B74" s="9"/>
      <x:c r="C74" s="9"/>
      <x:c r="D74" s="9"/>
      <x:c r="E74" s="9"/>
      <x:c r="F74" s="9"/>
      <x:c r="G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</x:row>
    <x:row r="75">
      <x:c r="A75" s="9"/>
      <x:c r="B75" s="9"/>
      <x:c r="C75" s="9"/>
      <x:c r="D75" s="9"/>
      <x:c r="E75" s="9"/>
      <x:c r="F75" s="9"/>
      <x:c r="G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</x:row>
    <x:row r="76">
      <x:c r="A76" s="9"/>
      <x:c r="B76" s="9"/>
      <x:c r="C76" s="9"/>
      <x:c r="D76" s="9"/>
      <x:c r="E76" s="9"/>
      <x:c r="F76" s="9"/>
      <x:c r="G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</x:row>
    <x:row r="77">
      <x:c r="A77" s="9"/>
      <x:c r="B77" s="9"/>
      <x:c r="C77" s="9"/>
      <x:c r="D77" s="9"/>
      <x:c r="E77" s="9"/>
      <x:c r="F77" s="9"/>
      <x:c r="G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</x:row>
    <x:row r="78">
      <x:c r="A78" s="9"/>
      <x:c r="B78" s="9"/>
      <x:c r="C78" s="9"/>
      <x:c r="D78" s="9"/>
      <x:c r="E78" s="9"/>
      <x:c r="F78" s="9"/>
      <x:c r="G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</x:row>
    <x:row r="79">
      <x:c r="A79" s="9"/>
      <x:c r="B79" s="9"/>
      <x:c r="C79" s="9"/>
      <x:c r="D79" s="9"/>
      <x:c r="E79" s="9"/>
      <x:c r="F79" s="9"/>
      <x:c r="G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</x:row>
    <x:row r="80">
      <x:c r="A80" s="9"/>
      <x:c r="B80" s="9"/>
      <x:c r="C80" s="9"/>
      <x:c r="D80" s="9"/>
      <x:c r="E80" s="9"/>
      <x:c r="F80" s="9"/>
      <x:c r="G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</x:row>
    <x:row r="81">
      <x:c r="A81" s="9"/>
      <x:c r="B81" s="9"/>
      <x:c r="C81" s="9"/>
      <x:c r="D81" s="9"/>
      <x:c r="E81" s="9"/>
      <x:c r="F81" s="9"/>
      <x:c r="G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</x:row>
    <x:row r="82">
      <x:c r="A82" s="9"/>
      <x:c r="B82" s="9"/>
      <x:c r="C82" s="9"/>
      <x:c r="D82" s="9"/>
      <x:c r="E82" s="9"/>
      <x:c r="F82" s="9"/>
      <x:c r="G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</x:row>
    <x:row r="83">
      <x:c r="A83" s="9"/>
      <x:c r="B83" s="9"/>
      <x:c r="C83" s="9"/>
      <x:c r="D83" s="9"/>
      <x:c r="E83" s="9"/>
      <x:c r="F83" s="9"/>
      <x:c r="G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</x:row>
    <x:row r="84">
      <x:c r="A84" s="9"/>
      <x:c r="B84" s="9"/>
      <x:c r="C84" s="9"/>
      <x:c r="D84" s="9"/>
      <x:c r="E84" s="9"/>
      <x:c r="F84" s="9"/>
      <x:c r="G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</x:row>
    <x:row r="85">
      <x:c r="A85" s="9"/>
      <x:c r="B85" s="9"/>
      <x:c r="C85" s="9"/>
      <x:c r="D85" s="9"/>
      <x:c r="E85" s="9"/>
      <x:c r="F85" s="9"/>
      <x:c r="G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</x:row>
    <x:row r="86">
      <x:c r="A86" s="9"/>
      <x:c r="B86" s="9"/>
      <x:c r="C86" s="9"/>
      <x:c r="D86" s="9"/>
      <x:c r="E86" s="9"/>
      <x:c r="F86" s="9"/>
      <x:c r="G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</x:row>
    <x:row r="87">
      <x:c r="A87" s="9"/>
      <x:c r="B87" s="9"/>
      <x:c r="C87" s="9"/>
      <x:c r="D87" s="9"/>
      <x:c r="E87" s="9"/>
      <x:c r="F87" s="9"/>
      <x:c r="G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</x:row>
    <x:row r="88">
      <x:c r="A88" s="9"/>
      <x:c r="B88" s="9"/>
      <x:c r="C88" s="9"/>
      <x:c r="D88" s="9"/>
      <x:c r="E88" s="9"/>
      <x:c r="F88" s="9"/>
      <x:c r="G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</x:row>
    <x:row r="89">
      <x:c r="A89" s="9"/>
      <x:c r="B89" s="9"/>
      <x:c r="C89" s="9"/>
      <x:c r="D89" s="9"/>
      <x:c r="E89" s="9"/>
      <x:c r="F89" s="9"/>
      <x:c r="G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</x:row>
    <x:row r="90">
      <x:c r="A90" s="9"/>
      <x:c r="B90" s="9"/>
      <x:c r="C90" s="9"/>
      <x:c r="D90" s="9"/>
      <x:c r="E90" s="9"/>
      <x:c r="F90" s="9"/>
      <x:c r="G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</x:row>
    <x:row r="91">
      <x:c r="A91" s="9"/>
      <x:c r="B91" s="9"/>
      <x:c r="C91" s="9"/>
      <x:c r="D91" s="9"/>
      <x:c r="E91" s="9"/>
      <x:c r="F91" s="9"/>
      <x:c r="G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</x:row>
    <x:row r="92">
      <x:c r="A92" s="9"/>
      <x:c r="B92" s="9"/>
      <x:c r="C92" s="9"/>
      <x:c r="D92" s="9"/>
      <x:c r="E92" s="9"/>
      <x:c r="F92" s="9"/>
      <x:c r="G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</x:row>
    <x:row r="93">
      <x:c r="A93" s="9"/>
      <x:c r="B93" s="9"/>
      <x:c r="C93" s="9"/>
      <x:c r="D93" s="9"/>
      <x:c r="E93" s="9"/>
      <x:c r="F93" s="9"/>
      <x:c r="G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</x:row>
    <x:row r="94">
      <x:c r="A94" s="9"/>
      <x:c r="B94" s="9"/>
      <x:c r="C94" s="9"/>
      <x:c r="D94" s="9"/>
      <x:c r="E94" s="9"/>
      <x:c r="F94" s="9"/>
      <x:c r="G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</x:row>
    <x:row r="95">
      <x:c r="A95" s="9"/>
      <x:c r="B95" s="9"/>
      <x:c r="C95" s="9"/>
      <x:c r="D95" s="9"/>
      <x:c r="E95" s="9"/>
      <x:c r="F95" s="9"/>
      <x:c r="G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</x:row>
    <x:row r="96">
      <x:c r="A96" s="9"/>
      <x:c r="B96" s="9"/>
      <x:c r="C96" s="9"/>
      <x:c r="D96" s="9"/>
      <x:c r="E96" s="9"/>
      <x:c r="F96" s="9"/>
      <x:c r="G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</x:row>
    <x:row r="97">
      <x:c r="A97" s="9"/>
      <x:c r="B97" s="9"/>
      <x:c r="C97" s="9"/>
      <x:c r="D97" s="9"/>
      <x:c r="E97" s="9"/>
      <x:c r="F97" s="9"/>
      <x:c r="G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</x:row>
    <x:row r="98">
      <x:c r="A98" s="9"/>
      <x:c r="B98" s="9"/>
      <x:c r="C98" s="9"/>
      <x:c r="D98" s="9"/>
      <x:c r="E98" s="9"/>
      <x:c r="F98" s="9"/>
      <x:c r="G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</x:row>
    <x:row r="99">
      <x:c r="A99" s="9"/>
      <x:c r="B99" s="9"/>
      <x:c r="C99" s="9"/>
      <x:c r="D99" s="9"/>
      <x:c r="E99" s="9"/>
      <x:c r="F99" s="9"/>
      <x:c r="G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</x:row>
    <x:row r="100">
      <x:c r="A100" s="9"/>
      <x:c r="B100" s="9"/>
      <x:c r="C100" s="9"/>
      <x:c r="D100" s="9"/>
      <x:c r="E100" s="9"/>
      <x:c r="F100" s="9"/>
      <x:c r="G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</x:row>
    <x:row r="101">
      <x:c r="A101" s="9"/>
      <x:c r="B101" s="9"/>
      <x:c r="C101" s="9"/>
      <x:c r="D101" s="9"/>
      <x:c r="E101" s="9"/>
      <x:c r="F101" s="9"/>
      <x:c r="G101" s="9"/>
      <x:c r="I101" s="9"/>
      <x:c r="J101" s="9"/>
      <x:c r="K101" s="9"/>
      <x:c r="L101" s="9"/>
      <x:c r="M101" s="9"/>
      <x:c r="N101" s="9"/>
      <x:c r="O101" s="9"/>
      <x:c r="P101" s="9"/>
      <x:c r="Q101" s="9"/>
      <x:c r="R101" s="9"/>
      <x:c r="S101" s="9"/>
      <x:c r="T101" s="9"/>
      <x:c r="U101" s="9"/>
      <x:c r="V101" s="9"/>
      <x:c r="W101" s="9"/>
      <x:c r="X101" s="9"/>
    </x:row>
    <x:row r="102">
      <x:c r="A102" s="9"/>
      <x:c r="B102" s="9"/>
      <x:c r="C102" s="9"/>
      <x:c r="D102" s="9"/>
      <x:c r="E102" s="9"/>
      <x:c r="F102" s="9"/>
      <x:c r="G102" s="9"/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/>
      <x:c r="U102" s="9"/>
      <x:c r="V102" s="9"/>
      <x:c r="W102" s="9"/>
      <x:c r="X102" s="9"/>
    </x:row>
    <x:row r="103">
      <x:c r="A103" s="9"/>
      <x:c r="B103" s="9"/>
      <x:c r="C103" s="9"/>
      <x:c r="D103" s="9"/>
      <x:c r="E103" s="9"/>
      <x:c r="F103" s="9"/>
      <x:c r="G103" s="9"/>
      <x:c r="I103" s="9"/>
      <x:c r="J103" s="9"/>
      <x:c r="K103" s="9"/>
      <x:c r="L103" s="9"/>
      <x:c r="M103" s="9"/>
      <x:c r="N103" s="9"/>
      <x:c r="O103" s="9"/>
      <x:c r="P103" s="9"/>
      <x:c r="Q103" s="9"/>
      <x:c r="R103" s="9"/>
      <x:c r="S103" s="9"/>
      <x:c r="T103" s="9"/>
      <x:c r="U103" s="9"/>
      <x:c r="V103" s="9"/>
      <x:c r="W103" s="9"/>
      <x:c r="X103" s="9"/>
    </x:row>
    <x:row r="104">
      <x:c r="A104" s="9"/>
      <x:c r="B104" s="9"/>
      <x:c r="C104" s="9"/>
      <x:c r="D104" s="9"/>
      <x:c r="E104" s="9"/>
      <x:c r="F104" s="9"/>
      <x:c r="G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</x:row>
    <x:row r="105">
      <x:c r="A105" s="9"/>
      <x:c r="B105" s="9"/>
      <x:c r="C105" s="9"/>
      <x:c r="D105" s="9"/>
      <x:c r="E105" s="9"/>
      <x:c r="F105" s="9"/>
      <x:c r="G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</x:row>
    <x:row r="106">
      <x:c r="A106" s="9"/>
      <x:c r="B106" s="9"/>
      <x:c r="C106" s="9"/>
      <x:c r="D106" s="9"/>
      <x:c r="E106" s="9"/>
      <x:c r="F106" s="9"/>
      <x:c r="G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</x:row>
    <x:row r="107">
      <x:c r="A107" s="9"/>
      <x:c r="B107" s="9"/>
      <x:c r="C107" s="9"/>
      <x:c r="D107" s="9"/>
      <x:c r="E107" s="9"/>
      <x:c r="F107" s="9"/>
      <x:c r="G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  <x:c r="W107" s="9"/>
      <x:c r="X107" s="9"/>
    </x:row>
    <x:row r="108">
      <x:c r="A108" s="9"/>
      <x:c r="B108" s="9"/>
      <x:c r="C108" s="9"/>
      <x:c r="D108" s="9"/>
      <x:c r="E108" s="9"/>
      <x:c r="F108" s="9"/>
      <x:c r="G108" s="9"/>
      <x:c r="I108" s="9"/>
      <x:c r="J108" s="9"/>
      <x:c r="K108" s="9"/>
      <x:c r="L108" s="9"/>
      <x:c r="M108" s="9"/>
      <x:c r="N108" s="9"/>
      <x:c r="O108" s="9"/>
      <x:c r="P108" s="9"/>
      <x:c r="Q108" s="9"/>
      <x:c r="R108" s="9"/>
      <x:c r="S108" s="9"/>
      <x:c r="T108" s="9"/>
      <x:c r="U108" s="9"/>
      <x:c r="V108" s="9"/>
      <x:c r="W108" s="9"/>
      <x:c r="X108" s="9"/>
    </x:row>
    <x:row r="109">
      <x:c r="A109" s="9"/>
      <x:c r="B109" s="9"/>
      <x:c r="C109" s="9"/>
      <x:c r="D109" s="9"/>
      <x:c r="E109" s="9"/>
      <x:c r="F109" s="9"/>
      <x:c r="G109" s="9"/>
      <x:c r="I109" s="9"/>
      <x:c r="J109" s="9"/>
      <x:c r="K109" s="9"/>
      <x:c r="L109" s="9"/>
      <x:c r="M109" s="9"/>
      <x:c r="N109" s="9"/>
      <x:c r="O109" s="9"/>
      <x:c r="P109" s="9"/>
      <x:c r="Q109" s="9"/>
      <x:c r="R109" s="9"/>
      <x:c r="S109" s="9"/>
      <x:c r="T109" s="9"/>
      <x:c r="U109" s="9"/>
      <x:c r="V109" s="9"/>
      <x:c r="W109" s="9"/>
      <x:c r="X109" s="9"/>
    </x:row>
    <x:row r="110">
      <x:c r="A110" s="9"/>
      <x:c r="B110" s="9"/>
      <x:c r="C110" s="9"/>
      <x:c r="D110" s="9"/>
      <x:c r="E110" s="9"/>
      <x:c r="F110" s="9"/>
      <x:c r="G110" s="9"/>
      <x:c r="I110" s="9"/>
      <x:c r="J110" s="9"/>
      <x:c r="K110" s="9"/>
      <x:c r="L110" s="9"/>
      <x:c r="M110" s="9"/>
      <x:c r="N110" s="9"/>
      <x:c r="O110" s="9"/>
      <x:c r="P110" s="9"/>
      <x:c r="Q110" s="9"/>
      <x:c r="R110" s="9"/>
      <x:c r="S110" s="9"/>
      <x:c r="T110" s="9"/>
      <x:c r="U110" s="9"/>
      <x:c r="V110" s="9"/>
      <x:c r="W110" s="9"/>
      <x:c r="X110" s="9"/>
    </x:row>
    <x:row r="111">
      <x:c r="A111" s="9"/>
      <x:c r="B111" s="9"/>
      <x:c r="C111" s="9"/>
      <x:c r="D111" s="9"/>
      <x:c r="E111" s="9"/>
      <x:c r="F111" s="9"/>
      <x:c r="G111" s="9"/>
      <x:c r="I111" s="9"/>
      <x:c r="J111" s="9"/>
      <x:c r="K111" s="9"/>
      <x:c r="L111" s="9"/>
      <x:c r="M111" s="9"/>
      <x:c r="N111" s="9"/>
      <x:c r="O111" s="9"/>
      <x:c r="P111" s="9"/>
      <x:c r="Q111" s="9"/>
      <x:c r="R111" s="9"/>
      <x:c r="S111" s="9"/>
      <x:c r="T111" s="9"/>
      <x:c r="U111" s="9"/>
      <x:c r="V111" s="9"/>
      <x:c r="W111" s="9"/>
      <x:c r="X111" s="9"/>
    </x:row>
    <x:row r="112">
      <x:c r="A112" s="9"/>
      <x:c r="B112" s="9"/>
      <x:c r="C112" s="9"/>
      <x:c r="D112" s="9"/>
      <x:c r="E112" s="9"/>
      <x:c r="F112" s="9"/>
      <x:c r="G112" s="9"/>
      <x:c r="I112" s="9"/>
      <x:c r="J112" s="9"/>
      <x:c r="K112" s="9"/>
      <x:c r="L112" s="9"/>
      <x:c r="M112" s="9"/>
      <x:c r="N112" s="9"/>
      <x:c r="O112" s="9"/>
      <x:c r="P112" s="9"/>
      <x:c r="Q112" s="9"/>
      <x:c r="R112" s="9"/>
      <x:c r="S112" s="9"/>
      <x:c r="T112" s="9"/>
      <x:c r="U112" s="9"/>
      <x:c r="V112" s="9"/>
      <x:c r="W112" s="9"/>
      <x:c r="X112" s="9"/>
    </x:row>
    <x:row r="113">
      <x:c r="A113" s="9"/>
      <x:c r="B113" s="9"/>
      <x:c r="C113" s="9"/>
      <x:c r="D113" s="9"/>
      <x:c r="E113" s="9"/>
      <x:c r="F113" s="9"/>
      <x:c r="G113" s="9"/>
      <x:c r="I113" s="9"/>
      <x:c r="J113" s="9"/>
      <x:c r="K113" s="9"/>
      <x:c r="L113" s="9"/>
      <x:c r="M113" s="9"/>
      <x:c r="N113" s="9"/>
      <x:c r="O113" s="9"/>
      <x:c r="P113" s="9"/>
      <x:c r="Q113" s="9"/>
      <x:c r="R113" s="9"/>
      <x:c r="S113" s="9"/>
      <x:c r="T113" s="9"/>
      <x:c r="U113" s="9"/>
      <x:c r="V113" s="9"/>
      <x:c r="W113" s="9"/>
      <x:c r="X113" s="9"/>
    </x:row>
    <x:row r="114">
      <x:c r="A114" s="9"/>
      <x:c r="B114" s="9"/>
      <x:c r="C114" s="9"/>
      <x:c r="D114" s="9"/>
      <x:c r="E114" s="9"/>
      <x:c r="F114" s="9"/>
      <x:c r="G114" s="9"/>
      <x:c r="I114" s="9"/>
      <x:c r="J114" s="9"/>
      <x:c r="K114" s="9"/>
      <x:c r="L114" s="9"/>
      <x:c r="M114" s="9"/>
      <x:c r="N114" s="9"/>
      <x:c r="O114" s="9"/>
      <x:c r="P114" s="9"/>
      <x:c r="Q114" s="9"/>
      <x:c r="R114" s="9"/>
      <x:c r="S114" s="9"/>
      <x:c r="T114" s="9"/>
      <x:c r="U114" s="9"/>
      <x:c r="V114" s="9"/>
      <x:c r="W114" s="9"/>
      <x:c r="X114" s="9"/>
    </x:row>
    <x:row r="115">
      <x:c r="A115" s="9"/>
      <x:c r="B115" s="9"/>
      <x:c r="C115" s="9"/>
      <x:c r="D115" s="9"/>
      <x:c r="E115" s="9"/>
      <x:c r="F115" s="9"/>
      <x:c r="G115" s="9"/>
      <x:c r="I115" s="9"/>
      <x:c r="J115" s="9"/>
      <x:c r="K115" s="9"/>
      <x:c r="L115" s="9"/>
      <x:c r="M115" s="9"/>
      <x:c r="N115" s="9"/>
      <x:c r="O115" s="9"/>
      <x:c r="P115" s="9"/>
      <x:c r="Q115" s="9"/>
      <x:c r="R115" s="9"/>
      <x:c r="S115" s="9"/>
      <x:c r="T115" s="9"/>
      <x:c r="U115" s="9"/>
      <x:c r="V115" s="9"/>
      <x:c r="W115" s="9"/>
      <x:c r="X115" s="9"/>
    </x:row>
    <x:row r="116">
      <x:c r="A116" s="9"/>
      <x:c r="B116" s="9"/>
      <x:c r="C116" s="9"/>
      <x:c r="D116" s="9"/>
      <x:c r="E116" s="9"/>
      <x:c r="F116" s="9"/>
      <x:c r="G116" s="9"/>
      <x:c r="I116" s="9"/>
      <x:c r="J116" s="9"/>
      <x:c r="K116" s="9"/>
      <x:c r="L116" s="9"/>
      <x:c r="M116" s="9"/>
      <x:c r="N116" s="9"/>
      <x:c r="O116" s="9"/>
      <x:c r="P116" s="9"/>
      <x:c r="Q116" s="9"/>
      <x:c r="R116" s="9"/>
      <x:c r="S116" s="9"/>
      <x:c r="T116" s="9"/>
      <x:c r="U116" s="9"/>
      <x:c r="V116" s="9"/>
      <x:c r="W116" s="9"/>
      <x:c r="X116" s="9"/>
    </x:row>
    <x:row r="117">
      <x:c r="A117" s="9"/>
      <x:c r="B117" s="9"/>
      <x:c r="C117" s="9"/>
      <x:c r="D117" s="9"/>
      <x:c r="E117" s="9"/>
      <x:c r="F117" s="9"/>
      <x:c r="G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</x:row>
    <x:row r="118">
      <x:c r="A118" s="9"/>
      <x:c r="B118" s="9"/>
      <x:c r="C118" s="9"/>
      <x:c r="D118" s="9"/>
      <x:c r="E118" s="9"/>
      <x:c r="F118" s="9"/>
      <x:c r="G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</x:row>
    <x:row r="119">
      <x:c r="A119" s="9"/>
      <x:c r="B119" s="9"/>
      <x:c r="C119" s="9"/>
      <x:c r="D119" s="9"/>
      <x:c r="E119" s="9"/>
      <x:c r="F119" s="9"/>
      <x:c r="G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</x:row>
    <x:row r="120">
      <x:c r="A120" s="9"/>
      <x:c r="B120" s="9"/>
      <x:c r="C120" s="9"/>
      <x:c r="D120" s="9"/>
      <x:c r="E120" s="9"/>
      <x:c r="F120" s="9"/>
      <x:c r="G120" s="9"/>
      <x:c r="I120" s="9"/>
      <x:c r="J120" s="9"/>
      <x:c r="K120" s="9"/>
      <x:c r="L120" s="9"/>
      <x:c r="M120" s="9"/>
      <x:c r="N120" s="9"/>
      <x:c r="O120" s="9"/>
      <x:c r="P120" s="9"/>
      <x:c r="Q120" s="9"/>
      <x:c r="R120" s="9"/>
      <x:c r="S120" s="9"/>
      <x:c r="T120" s="9"/>
      <x:c r="U120" s="9"/>
      <x:c r="V120" s="9"/>
      <x:c r="W120" s="9"/>
      <x:c r="X120" s="9"/>
    </x:row>
    <x:row r="121">
      <x:c r="A121" s="9"/>
      <x:c r="B121" s="9"/>
      <x:c r="C121" s="9"/>
      <x:c r="D121" s="9"/>
      <x:c r="E121" s="9"/>
      <x:c r="F121" s="9"/>
      <x:c r="G121" s="9"/>
      <x:c r="I121" s="9"/>
      <x:c r="J121" s="9"/>
      <x:c r="K121" s="9"/>
      <x:c r="L121" s="9"/>
      <x:c r="M121" s="9"/>
      <x:c r="N121" s="9"/>
      <x:c r="O121" s="9"/>
      <x:c r="P121" s="9"/>
      <x:c r="Q121" s="9"/>
      <x:c r="R121" s="9"/>
      <x:c r="S121" s="9"/>
      <x:c r="T121" s="9"/>
      <x:c r="U121" s="9"/>
      <x:c r="V121" s="9"/>
      <x:c r="W121" s="9"/>
      <x:c r="X121" s="9"/>
    </x:row>
    <x:row r="122">
      <x:c r="A122" s="9"/>
      <x:c r="B122" s="9"/>
      <x:c r="C122" s="9"/>
      <x:c r="D122" s="9"/>
      <x:c r="E122" s="9"/>
      <x:c r="F122" s="9"/>
      <x:c r="G122" s="9"/>
      <x:c r="I122" s="9"/>
      <x:c r="J122" s="9"/>
      <x:c r="K122" s="9"/>
      <x:c r="L122" s="9"/>
      <x:c r="M122" s="9"/>
      <x:c r="N122" s="9"/>
      <x:c r="O122" s="9"/>
      <x:c r="P122" s="9"/>
      <x:c r="Q122" s="9"/>
      <x:c r="R122" s="9"/>
      <x:c r="S122" s="9"/>
      <x:c r="T122" s="9"/>
      <x:c r="U122" s="9"/>
      <x:c r="V122" s="9"/>
      <x:c r="W122" s="9"/>
      <x:c r="X122" s="9"/>
    </x:row>
    <x:row r="123">
      <x:c r="A123" s="9"/>
      <x:c r="B123" s="9"/>
      <x:c r="C123" s="9"/>
      <x:c r="D123" s="9"/>
      <x:c r="E123" s="9"/>
      <x:c r="F123" s="9"/>
      <x:c r="G123" s="9"/>
      <x:c r="I123" s="9"/>
      <x:c r="J123" s="9"/>
      <x:c r="K123" s="9"/>
      <x:c r="L123" s="9"/>
      <x:c r="M123" s="9"/>
      <x:c r="N123" s="9"/>
      <x:c r="O123" s="9"/>
      <x:c r="P123" s="9"/>
      <x:c r="Q123" s="9"/>
      <x:c r="R123" s="9"/>
      <x:c r="S123" s="9"/>
      <x:c r="T123" s="9"/>
      <x:c r="U123" s="9"/>
      <x:c r="V123" s="9"/>
      <x:c r="W123" s="9"/>
      <x:c r="X123" s="9"/>
    </x:row>
    <x:row r="124">
      <x:c r="A124" s="9"/>
      <x:c r="B124" s="9"/>
      <x:c r="C124" s="9"/>
      <x:c r="D124" s="9"/>
      <x:c r="E124" s="9"/>
      <x:c r="F124" s="9"/>
      <x:c r="G124" s="9"/>
      <x:c r="I124" s="9"/>
      <x:c r="J124" s="9"/>
      <x:c r="K124" s="9"/>
      <x:c r="L124" s="9"/>
      <x:c r="M124" s="9"/>
      <x:c r="N124" s="9"/>
      <x:c r="O124" s="9"/>
      <x:c r="P124" s="9"/>
      <x:c r="Q124" s="9"/>
      <x:c r="R124" s="9"/>
      <x:c r="S124" s="9"/>
      <x:c r="T124" s="9"/>
      <x:c r="U124" s="9"/>
      <x:c r="V124" s="9"/>
      <x:c r="W124" s="9"/>
      <x:c r="X124" s="9"/>
    </x:row>
    <x:row r="125">
      <x:c r="A125" s="9"/>
      <x:c r="B125" s="9"/>
      <x:c r="C125" s="9"/>
      <x:c r="D125" s="9"/>
      <x:c r="E125" s="9"/>
      <x:c r="F125" s="9"/>
      <x:c r="G125" s="9"/>
      <x:c r="I125" s="9"/>
      <x:c r="J125" s="9"/>
      <x:c r="K125" s="9"/>
      <x:c r="L125" s="9"/>
      <x:c r="M125" s="9"/>
      <x:c r="N125" s="9"/>
      <x:c r="O125" s="9"/>
      <x:c r="P125" s="9"/>
      <x:c r="Q125" s="9"/>
      <x:c r="R125" s="9"/>
      <x:c r="S125" s="9"/>
      <x:c r="T125" s="9"/>
      <x:c r="U125" s="9"/>
      <x:c r="V125" s="9"/>
      <x:c r="W125" s="9"/>
      <x:c r="X125" s="9"/>
    </x:row>
    <x:row r="126">
      <x:c r="A126" s="9"/>
      <x:c r="B126" s="9"/>
      <x:c r="C126" s="9"/>
      <x:c r="D126" s="9"/>
      <x:c r="E126" s="9"/>
      <x:c r="F126" s="9"/>
      <x:c r="G126" s="9"/>
      <x:c r="I126" s="9"/>
      <x:c r="J126" s="9"/>
      <x:c r="K126" s="9"/>
      <x:c r="L126" s="9"/>
      <x:c r="M126" s="9"/>
      <x:c r="N126" s="9"/>
      <x:c r="O126" s="9"/>
      <x:c r="P126" s="9"/>
      <x:c r="Q126" s="9"/>
      <x:c r="R126" s="9"/>
      <x:c r="S126" s="9"/>
      <x:c r="T126" s="9"/>
      <x:c r="U126" s="9"/>
      <x:c r="V126" s="9"/>
      <x:c r="W126" s="9"/>
      <x:c r="X126" s="9"/>
    </x:row>
    <x:row r="127">
      <x:c r="A127" s="9"/>
      <x:c r="B127" s="9"/>
      <x:c r="C127" s="9"/>
      <x:c r="D127" s="9"/>
      <x:c r="E127" s="9"/>
      <x:c r="F127" s="9"/>
      <x:c r="G127" s="9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/>
      <x:c r="U127" s="9"/>
      <x:c r="V127" s="9"/>
      <x:c r="W127" s="9"/>
      <x:c r="X127" s="9"/>
    </x:row>
    <x:row r="128">
      <x:c r="A128" s="9"/>
      <x:c r="B128" s="9"/>
      <x:c r="C128" s="9"/>
      <x:c r="D128" s="9"/>
      <x:c r="E128" s="9"/>
      <x:c r="F128" s="9"/>
      <x:c r="G128" s="9"/>
      <x:c r="I128" s="9"/>
      <x:c r="J128" s="9"/>
      <x:c r="K128" s="9"/>
      <x:c r="L128" s="9"/>
      <x:c r="M128" s="9"/>
      <x:c r="N128" s="9"/>
      <x:c r="O128" s="9"/>
      <x:c r="P128" s="9"/>
      <x:c r="Q128" s="9"/>
      <x:c r="R128" s="9"/>
      <x:c r="S128" s="9"/>
      <x:c r="T128" s="9"/>
      <x:c r="U128" s="9"/>
      <x:c r="V128" s="9"/>
      <x:c r="W128" s="9"/>
      <x:c r="X128" s="9"/>
    </x:row>
    <x:row r="129">
      <x:c r="A129" s="9"/>
      <x:c r="B129" s="9"/>
      <x:c r="C129" s="9"/>
      <x:c r="D129" s="9"/>
      <x:c r="E129" s="9"/>
      <x:c r="F129" s="9"/>
      <x:c r="G129" s="9"/>
      <x:c r="I129" s="9"/>
      <x:c r="J129" s="9"/>
      <x:c r="K129" s="9"/>
      <x:c r="L129" s="9"/>
      <x:c r="M129" s="9"/>
      <x:c r="N129" s="9"/>
      <x:c r="O129" s="9"/>
      <x:c r="P129" s="9"/>
      <x:c r="Q129" s="9"/>
      <x:c r="R129" s="9"/>
      <x:c r="S129" s="9"/>
      <x:c r="T129" s="9"/>
      <x:c r="U129" s="9"/>
      <x:c r="V129" s="9"/>
      <x:c r="W129" s="9"/>
      <x:c r="X129" s="9"/>
    </x:row>
    <x:row r="130">
      <x:c r="A130" s="9"/>
      <x:c r="B130" s="9"/>
      <x:c r="C130" s="9"/>
      <x:c r="D130" s="9"/>
      <x:c r="E130" s="9"/>
      <x:c r="F130" s="9"/>
      <x:c r="G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</x:row>
    <x:row r="131">
      <x:c r="A131" s="9"/>
      <x:c r="B131" s="9"/>
      <x:c r="C131" s="9"/>
      <x:c r="D131" s="9"/>
      <x:c r="E131" s="9"/>
      <x:c r="F131" s="9"/>
      <x:c r="G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</x:row>
    <x:row r="132">
      <x:c r="A132" s="9"/>
      <x:c r="B132" s="9"/>
      <x:c r="C132" s="9"/>
      <x:c r="D132" s="9"/>
      <x:c r="E132" s="9"/>
      <x:c r="F132" s="9"/>
      <x:c r="G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</x:row>
    <x:row r="133">
      <x:c r="A133" s="9"/>
      <x:c r="B133" s="9"/>
      <x:c r="C133" s="9"/>
      <x:c r="D133" s="9"/>
      <x:c r="E133" s="9"/>
      <x:c r="F133" s="9"/>
      <x:c r="G133" s="9"/>
      <x:c r="I133" s="9"/>
      <x:c r="J133" s="9"/>
      <x:c r="K133" s="9"/>
      <x:c r="L133" s="9"/>
      <x:c r="M133" s="9"/>
      <x:c r="N133" s="9"/>
      <x:c r="O133" s="9"/>
      <x:c r="P133" s="9"/>
      <x:c r="Q133" s="9"/>
      <x:c r="R133" s="9"/>
      <x:c r="S133" s="9"/>
      <x:c r="T133" s="9"/>
      <x:c r="U133" s="9"/>
      <x:c r="V133" s="9"/>
      <x:c r="W133" s="9"/>
      <x:c r="X133" s="9"/>
    </x:row>
    <x:row r="134">
      <x:c r="A134" s="9"/>
      <x:c r="B134" s="9"/>
      <x:c r="C134" s="9"/>
      <x:c r="D134" s="9"/>
      <x:c r="E134" s="9"/>
      <x:c r="F134" s="9"/>
      <x:c r="G134" s="9"/>
      <x:c r="I134" s="9"/>
      <x:c r="J134" s="9"/>
      <x:c r="K134" s="9"/>
      <x:c r="L134" s="9"/>
      <x:c r="M134" s="9"/>
      <x:c r="N134" s="9"/>
      <x:c r="O134" s="9"/>
      <x:c r="P134" s="9"/>
      <x:c r="Q134" s="9"/>
      <x:c r="R134" s="9"/>
      <x:c r="S134" s="9"/>
      <x:c r="T134" s="9"/>
      <x:c r="U134" s="9"/>
      <x:c r="V134" s="9"/>
      <x:c r="W134" s="9"/>
      <x:c r="X134" s="9"/>
    </x:row>
    <x:row r="135">
      <x:c r="A135" s="9"/>
      <x:c r="B135" s="9"/>
      <x:c r="C135" s="9"/>
      <x:c r="D135" s="9"/>
      <x:c r="E135" s="9"/>
      <x:c r="F135" s="9"/>
      <x:c r="G135" s="9"/>
      <x:c r="I135" s="9"/>
      <x:c r="J135" s="9"/>
      <x:c r="K135" s="9"/>
      <x:c r="L135" s="9"/>
      <x:c r="M135" s="9"/>
      <x:c r="N135" s="9"/>
      <x:c r="O135" s="9"/>
      <x:c r="P135" s="9"/>
      <x:c r="Q135" s="9"/>
      <x:c r="R135" s="9"/>
      <x:c r="S135" s="9"/>
      <x:c r="T135" s="9"/>
      <x:c r="U135" s="9"/>
      <x:c r="V135" s="9"/>
      <x:c r="W135" s="9"/>
      <x:c r="X135" s="9"/>
    </x:row>
    <x:row r="136">
      <x:c r="A136" s="9"/>
      <x:c r="B136" s="9"/>
      <x:c r="C136" s="9"/>
      <x:c r="D136" s="9"/>
      <x:c r="E136" s="9"/>
      <x:c r="F136" s="9"/>
      <x:c r="G136" s="9"/>
      <x:c r="I136" s="9"/>
      <x:c r="J136" s="9"/>
      <x:c r="K136" s="9"/>
      <x:c r="L136" s="9"/>
      <x:c r="M136" s="9"/>
      <x:c r="N136" s="9"/>
      <x:c r="O136" s="9"/>
      <x:c r="P136" s="9"/>
      <x:c r="Q136" s="9"/>
      <x:c r="R136" s="9"/>
      <x:c r="S136" s="9"/>
      <x:c r="T136" s="9"/>
      <x:c r="U136" s="9"/>
      <x:c r="V136" s="9"/>
      <x:c r="W136" s="9"/>
      <x:c r="X136" s="9"/>
    </x:row>
    <x:row r="137">
      <x:c r="A137" s="9"/>
      <x:c r="B137" s="9"/>
      <x:c r="C137" s="9"/>
      <x:c r="D137" s="9"/>
      <x:c r="E137" s="9"/>
      <x:c r="F137" s="9"/>
      <x:c r="G137" s="9"/>
      <x:c r="I137" s="9"/>
      <x:c r="J137" s="9"/>
      <x:c r="K137" s="9"/>
      <x:c r="L137" s="9"/>
      <x:c r="M137" s="9"/>
      <x:c r="N137" s="9"/>
      <x:c r="O137" s="9"/>
      <x:c r="P137" s="9"/>
      <x:c r="Q137" s="9"/>
      <x:c r="R137" s="9"/>
      <x:c r="S137" s="9"/>
      <x:c r="T137" s="9"/>
      <x:c r="U137" s="9"/>
      <x:c r="V137" s="9"/>
      <x:c r="W137" s="9"/>
      <x:c r="X137" s="9"/>
    </x:row>
    <x:row r="138">
      <x:c r="A138" s="9"/>
      <x:c r="B138" s="9"/>
      <x:c r="C138" s="9"/>
      <x:c r="D138" s="9"/>
      <x:c r="E138" s="9"/>
      <x:c r="F138" s="9"/>
      <x:c r="G138" s="9"/>
      <x:c r="I138" s="9"/>
      <x:c r="J138" s="9"/>
      <x:c r="K138" s="9"/>
      <x:c r="L138" s="9"/>
      <x:c r="M138" s="9"/>
      <x:c r="N138" s="9"/>
      <x:c r="O138" s="9"/>
      <x:c r="P138" s="9"/>
      <x:c r="Q138" s="9"/>
      <x:c r="R138" s="9"/>
      <x:c r="S138" s="9"/>
      <x:c r="T138" s="9"/>
      <x:c r="U138" s="9"/>
      <x:c r="V138" s="9"/>
      <x:c r="W138" s="9"/>
      <x:c r="X138" s="9"/>
    </x:row>
    <x:row r="139">
      <x:c r="A139" s="9"/>
      <x:c r="B139" s="9"/>
      <x:c r="C139" s="9"/>
      <x:c r="D139" s="9"/>
      <x:c r="E139" s="9"/>
      <x:c r="F139" s="9"/>
      <x:c r="G139" s="9"/>
      <x:c r="I139" s="9"/>
      <x:c r="J139" s="9"/>
      <x:c r="K139" s="9"/>
      <x:c r="L139" s="9"/>
      <x:c r="M139" s="9"/>
      <x:c r="N139" s="9"/>
      <x:c r="O139" s="9"/>
      <x:c r="P139" s="9"/>
      <x:c r="Q139" s="9"/>
      <x:c r="R139" s="9"/>
      <x:c r="S139" s="9"/>
      <x:c r="T139" s="9"/>
      <x:c r="U139" s="9"/>
      <x:c r="V139" s="9"/>
      <x:c r="W139" s="9"/>
      <x:c r="X139" s="9"/>
    </x:row>
    <x:row r="140">
      <x:c r="A140" s="9"/>
      <x:c r="B140" s="9"/>
      <x:c r="C140" s="9"/>
      <x:c r="D140" s="9"/>
      <x:c r="E140" s="9"/>
      <x:c r="F140" s="9"/>
      <x:c r="G140" s="9"/>
      <x:c r="I140" s="9"/>
      <x:c r="J140" s="9"/>
      <x:c r="K140" s="9"/>
      <x:c r="L140" s="9"/>
      <x:c r="M140" s="9"/>
      <x:c r="N140" s="9"/>
      <x:c r="O140" s="9"/>
      <x:c r="P140" s="9"/>
      <x:c r="Q140" s="9"/>
      <x:c r="R140" s="9"/>
      <x:c r="S140" s="9"/>
      <x:c r="T140" s="9"/>
      <x:c r="U140" s="9"/>
      <x:c r="V140" s="9"/>
      <x:c r="W140" s="9"/>
      <x:c r="X140" s="9"/>
    </x:row>
    <x:row r="141">
      <x:c r="A141" s="9"/>
      <x:c r="B141" s="9"/>
      <x:c r="C141" s="9"/>
      <x:c r="D141" s="9"/>
      <x:c r="E141" s="9"/>
      <x:c r="F141" s="9"/>
      <x:c r="G141" s="9"/>
      <x:c r="I141" s="9"/>
      <x:c r="J141" s="9"/>
      <x:c r="K141" s="9"/>
      <x:c r="L141" s="9"/>
      <x:c r="M141" s="9"/>
      <x:c r="N141" s="9"/>
      <x:c r="O141" s="9"/>
      <x:c r="P141" s="9"/>
      <x:c r="Q141" s="9"/>
      <x:c r="R141" s="9"/>
      <x:c r="S141" s="9"/>
      <x:c r="T141" s="9"/>
      <x:c r="U141" s="9"/>
      <x:c r="V141" s="9"/>
      <x:c r="W141" s="9"/>
      <x:c r="X141" s="9"/>
    </x:row>
    <x:row r="142">
      <x:c r="A142" s="9"/>
      <x:c r="B142" s="9"/>
      <x:c r="C142" s="9"/>
      <x:c r="D142" s="9"/>
      <x:c r="E142" s="9"/>
      <x:c r="F142" s="9"/>
      <x:c r="G142" s="9"/>
      <x:c r="I142" s="9"/>
      <x:c r="J142" s="9"/>
      <x:c r="K142" s="9"/>
      <x:c r="L142" s="9"/>
      <x:c r="M142" s="9"/>
      <x:c r="N142" s="9"/>
      <x:c r="O142" s="9"/>
      <x:c r="P142" s="9"/>
      <x:c r="Q142" s="9"/>
      <x:c r="R142" s="9"/>
      <x:c r="S142" s="9"/>
      <x:c r="T142" s="9"/>
      <x:c r="U142" s="9"/>
      <x:c r="V142" s="9"/>
      <x:c r="W142" s="9"/>
      <x:c r="X142" s="9"/>
    </x:row>
    <x:row r="143">
      <x:c r="A143" s="9"/>
      <x:c r="B143" s="9"/>
      <x:c r="C143" s="9"/>
      <x:c r="D143" s="9"/>
      <x:c r="E143" s="9"/>
      <x:c r="F143" s="9"/>
      <x:c r="G143" s="9"/>
      <x:c r="I143" s="9"/>
      <x:c r="J143" s="9"/>
      <x:c r="K143" s="9"/>
      <x:c r="L143" s="9"/>
      <x:c r="M143" s="9"/>
      <x:c r="N143" s="9"/>
      <x:c r="O143" s="9"/>
      <x:c r="P143" s="9"/>
      <x:c r="Q143" s="9"/>
      <x:c r="R143" s="9"/>
      <x:c r="S143" s="9"/>
      <x:c r="T143" s="9"/>
      <x:c r="U143" s="9"/>
      <x:c r="V143" s="9"/>
      <x:c r="W143" s="9"/>
      <x:c r="X143" s="9"/>
    </x:row>
    <x:row r="144">
      <x:c r="A144" s="9"/>
      <x:c r="B144" s="9"/>
      <x:c r="C144" s="9"/>
      <x:c r="D144" s="9"/>
      <x:c r="E144" s="9"/>
      <x:c r="F144" s="9"/>
      <x:c r="G144" s="9"/>
      <x:c r="I144" s="9"/>
      <x:c r="J144" s="9"/>
      <x:c r="K144" s="9"/>
      <x:c r="L144" s="9"/>
      <x:c r="M144" s="9"/>
      <x:c r="N144" s="9"/>
      <x:c r="O144" s="9"/>
      <x:c r="P144" s="9"/>
      <x:c r="Q144" s="9"/>
      <x:c r="R144" s="9"/>
      <x:c r="S144" s="9"/>
      <x:c r="T144" s="9"/>
      <x:c r="U144" s="9"/>
      <x:c r="V144" s="9"/>
      <x:c r="W144" s="9"/>
      <x:c r="X144" s="9"/>
    </x:row>
    <x:row r="145">
      <x:c r="A145" s="9"/>
      <x:c r="B145" s="9"/>
      <x:c r="C145" s="9"/>
      <x:c r="D145" s="9"/>
      <x:c r="E145" s="9"/>
      <x:c r="F145" s="9"/>
      <x:c r="G145" s="9"/>
      <x:c r="I145" s="9"/>
      <x:c r="J145" s="9"/>
      <x:c r="K145" s="9"/>
      <x:c r="L145" s="9"/>
      <x:c r="M145" s="9"/>
      <x:c r="N145" s="9"/>
      <x:c r="O145" s="9"/>
      <x:c r="P145" s="9"/>
      <x:c r="Q145" s="9"/>
      <x:c r="R145" s="9"/>
      <x:c r="S145" s="9"/>
      <x:c r="T145" s="9"/>
      <x:c r="U145" s="9"/>
      <x:c r="V145" s="9"/>
      <x:c r="W145" s="9"/>
      <x:c r="X145" s="9"/>
    </x:row>
    <x:row r="146">
      <x:c r="A146" s="9"/>
      <x:c r="B146" s="9"/>
      <x:c r="C146" s="9"/>
      <x:c r="D146" s="9"/>
      <x:c r="E146" s="9"/>
      <x:c r="F146" s="9"/>
      <x:c r="G146" s="9"/>
      <x:c r="I146" s="9"/>
      <x:c r="J146" s="9"/>
      <x:c r="K146" s="9"/>
      <x:c r="L146" s="9"/>
      <x:c r="M146" s="9"/>
      <x:c r="N146" s="9"/>
      <x:c r="O146" s="9"/>
      <x:c r="P146" s="9"/>
      <x:c r="Q146" s="9"/>
      <x:c r="R146" s="9"/>
      <x:c r="S146" s="9"/>
      <x:c r="T146" s="9"/>
      <x:c r="U146" s="9"/>
      <x:c r="V146" s="9"/>
      <x:c r="W146" s="9"/>
      <x:c r="X146" s="9"/>
    </x:row>
    <x:row r="147">
      <x:c r="A147" s="9"/>
      <x:c r="B147" s="9"/>
      <x:c r="C147" s="9"/>
      <x:c r="D147" s="9"/>
      <x:c r="E147" s="9"/>
      <x:c r="F147" s="9"/>
      <x:c r="G147" s="9"/>
      <x:c r="I147" s="9"/>
      <x:c r="J147" s="9"/>
      <x:c r="K147" s="9"/>
      <x:c r="L147" s="9"/>
      <x:c r="M147" s="9"/>
      <x:c r="N147" s="9"/>
      <x:c r="O147" s="9"/>
      <x:c r="P147" s="9"/>
      <x:c r="Q147" s="9"/>
      <x:c r="R147" s="9"/>
      <x:c r="S147" s="9"/>
      <x:c r="T147" s="9"/>
      <x:c r="U147" s="9"/>
      <x:c r="V147" s="9"/>
      <x:c r="W147" s="9"/>
      <x:c r="X147" s="9"/>
    </x:row>
    <x:row r="148">
      <x:c r="A148" s="9"/>
      <x:c r="B148" s="9"/>
      <x:c r="C148" s="9"/>
      <x:c r="D148" s="9"/>
      <x:c r="E148" s="9"/>
      <x:c r="F148" s="9"/>
      <x:c r="G148" s="9"/>
      <x:c r="I148" s="9"/>
      <x:c r="J148" s="9"/>
      <x:c r="K148" s="9"/>
      <x:c r="L148" s="9"/>
      <x:c r="M148" s="9"/>
      <x:c r="N148" s="9"/>
      <x:c r="O148" s="9"/>
      <x:c r="P148" s="9"/>
      <x:c r="Q148" s="9"/>
      <x:c r="R148" s="9"/>
      <x:c r="S148" s="9"/>
      <x:c r="T148" s="9"/>
      <x:c r="U148" s="9"/>
      <x:c r="V148" s="9"/>
      <x:c r="W148" s="9"/>
      <x:c r="X148" s="9"/>
    </x:row>
    <x:row r="149">
      <x:c r="A149" s="9"/>
      <x:c r="B149" s="9"/>
      <x:c r="C149" s="9"/>
      <x:c r="D149" s="9"/>
      <x:c r="E149" s="9"/>
      <x:c r="F149" s="9"/>
      <x:c r="G149" s="9"/>
      <x:c r="I149" s="9"/>
      <x:c r="J149" s="9"/>
      <x:c r="K149" s="9"/>
      <x:c r="L149" s="9"/>
      <x:c r="M149" s="9"/>
      <x:c r="N149" s="9"/>
      <x:c r="O149" s="9"/>
      <x:c r="P149" s="9"/>
      <x:c r="Q149" s="9"/>
      <x:c r="R149" s="9"/>
      <x:c r="S149" s="9"/>
      <x:c r="T149" s="9"/>
      <x:c r="U149" s="9"/>
      <x:c r="V149" s="9"/>
      <x:c r="W149" s="9"/>
      <x:c r="X149" s="9"/>
    </x:row>
    <x:row r="150">
      <x:c r="A150" s="9"/>
      <x:c r="B150" s="9"/>
      <x:c r="C150" s="9"/>
      <x:c r="D150" s="9"/>
      <x:c r="E150" s="9"/>
      <x:c r="F150" s="9"/>
      <x:c r="G150" s="9"/>
      <x:c r="I150" s="9"/>
      <x:c r="J150" s="9"/>
      <x:c r="K150" s="9"/>
      <x:c r="L150" s="9"/>
      <x:c r="M150" s="9"/>
      <x:c r="N150" s="9"/>
      <x:c r="O150" s="9"/>
      <x:c r="P150" s="9"/>
      <x:c r="Q150" s="9"/>
      <x:c r="R150" s="9"/>
      <x:c r="S150" s="9"/>
      <x:c r="T150" s="9"/>
      <x:c r="U150" s="9"/>
      <x:c r="V150" s="9"/>
      <x:c r="W150" s="9"/>
      <x:c r="X150" s="9"/>
    </x:row>
    <x:row r="151">
      <x:c r="A151" s="9"/>
      <x:c r="B151" s="9"/>
      <x:c r="C151" s="9"/>
      <x:c r="D151" s="9"/>
      <x:c r="E151" s="9"/>
      <x:c r="F151" s="9"/>
      <x:c r="G151" s="9"/>
      <x:c r="I151" s="9"/>
      <x:c r="J151" s="9"/>
      <x:c r="K151" s="9"/>
      <x:c r="L151" s="9"/>
      <x:c r="M151" s="9"/>
      <x:c r="N151" s="9"/>
      <x:c r="O151" s="9"/>
      <x:c r="P151" s="9"/>
      <x:c r="Q151" s="9"/>
      <x:c r="R151" s="9"/>
      <x:c r="S151" s="9"/>
      <x:c r="T151" s="9"/>
      <x:c r="U151" s="9"/>
      <x:c r="V151" s="9"/>
      <x:c r="W151" s="9"/>
      <x:c r="X151" s="9"/>
    </x:row>
    <x:row r="152">
      <x:c r="A152" s="9"/>
      <x:c r="B152" s="9"/>
      <x:c r="C152" s="9"/>
      <x:c r="D152" s="9"/>
      <x:c r="E152" s="9"/>
      <x:c r="F152" s="9"/>
      <x:c r="G152" s="9"/>
      <x:c r="I152" s="9"/>
      <x:c r="J152" s="9"/>
      <x:c r="K152" s="9"/>
      <x:c r="L152" s="9"/>
      <x:c r="M152" s="9"/>
      <x:c r="N152" s="9"/>
      <x:c r="O152" s="9"/>
      <x:c r="P152" s="9"/>
      <x:c r="Q152" s="9"/>
      <x:c r="R152" s="9"/>
      <x:c r="S152" s="9"/>
      <x:c r="T152" s="9"/>
      <x:c r="U152" s="9"/>
      <x:c r="V152" s="9"/>
      <x:c r="W152" s="9"/>
      <x:c r="X152" s="9"/>
    </x:row>
    <x:row r="153">
      <x:c r="A153" s="9"/>
      <x:c r="B153" s="9"/>
      <x:c r="C153" s="9"/>
      <x:c r="D153" s="9"/>
      <x:c r="E153" s="9"/>
      <x:c r="F153" s="9"/>
      <x:c r="G153" s="9"/>
      <x:c r="I153" s="9"/>
      <x:c r="J153" s="9"/>
      <x:c r="K153" s="9"/>
      <x:c r="L153" s="9"/>
      <x:c r="M153" s="9"/>
      <x:c r="N153" s="9"/>
      <x:c r="O153" s="9"/>
      <x:c r="P153" s="9"/>
      <x:c r="Q153" s="9"/>
      <x:c r="R153" s="9"/>
      <x:c r="S153" s="9"/>
      <x:c r="T153" s="9"/>
      <x:c r="U153" s="9"/>
      <x:c r="V153" s="9"/>
      <x:c r="W153" s="9"/>
      <x:c r="X153" s="9"/>
    </x:row>
    <x:row r="154">
      <x:c r="A154" s="9"/>
      <x:c r="B154" s="9"/>
      <x:c r="C154" s="9"/>
      <x:c r="D154" s="9"/>
      <x:c r="E154" s="9"/>
      <x:c r="F154" s="9"/>
      <x:c r="G154" s="9"/>
      <x:c r="I154" s="9"/>
      <x:c r="J154" s="9"/>
      <x:c r="K154" s="9"/>
      <x:c r="L154" s="9"/>
      <x:c r="M154" s="9"/>
      <x:c r="N154" s="9"/>
      <x:c r="O154" s="9"/>
      <x:c r="P154" s="9"/>
      <x:c r="Q154" s="9"/>
      <x:c r="R154" s="9"/>
      <x:c r="S154" s="9"/>
      <x:c r="T154" s="9"/>
      <x:c r="U154" s="9"/>
      <x:c r="V154" s="9"/>
      <x:c r="W154" s="9"/>
      <x:c r="X154" s="9"/>
    </x:row>
    <x:row r="155">
      <x:c r="A155" s="9"/>
      <x:c r="B155" s="9"/>
      <x:c r="C155" s="9"/>
      <x:c r="D155" s="9"/>
      <x:c r="E155" s="9"/>
      <x:c r="F155" s="9"/>
      <x:c r="G155" s="9"/>
      <x:c r="I155" s="9"/>
      <x:c r="J155" s="9"/>
      <x:c r="K155" s="9"/>
      <x:c r="L155" s="9"/>
      <x:c r="M155" s="9"/>
      <x:c r="N155" s="9"/>
      <x:c r="O155" s="9"/>
      <x:c r="P155" s="9"/>
      <x:c r="Q155" s="9"/>
      <x:c r="R155" s="9"/>
      <x:c r="S155" s="9"/>
      <x:c r="T155" s="9"/>
      <x:c r="U155" s="9"/>
      <x:c r="V155" s="9"/>
      <x:c r="W155" s="9"/>
      <x:c r="X155" s="9"/>
    </x:row>
    <x:row r="156">
      <x:c r="A156" s="9"/>
      <x:c r="B156" s="9"/>
      <x:c r="C156" s="9"/>
      <x:c r="D156" s="9"/>
      <x:c r="E156" s="9"/>
      <x:c r="F156" s="9"/>
      <x:c r="G156" s="9"/>
      <x:c r="I156" s="9"/>
      <x:c r="J156" s="9"/>
      <x:c r="K156" s="9"/>
      <x:c r="L156" s="9"/>
      <x:c r="M156" s="9"/>
      <x:c r="N156" s="9"/>
      <x:c r="O156" s="9"/>
      <x:c r="P156" s="9"/>
      <x:c r="Q156" s="9"/>
      <x:c r="R156" s="9"/>
      <x:c r="S156" s="9"/>
      <x:c r="T156" s="9"/>
      <x:c r="U156" s="9"/>
      <x:c r="V156" s="9"/>
      <x:c r="W156" s="9"/>
      <x:c r="X156" s="9"/>
    </x:row>
    <x:row r="157">
      <x:c r="A157" s="9"/>
      <x:c r="B157" s="9"/>
      <x:c r="C157" s="9"/>
      <x:c r="D157" s="9"/>
      <x:c r="E157" s="9"/>
      <x:c r="F157" s="9"/>
      <x:c r="G157" s="9"/>
      <x:c r="I157" s="9"/>
      <x:c r="J157" s="9"/>
      <x:c r="K157" s="9"/>
      <x:c r="L157" s="9"/>
      <x:c r="M157" s="9"/>
      <x:c r="N157" s="9"/>
      <x:c r="O157" s="9"/>
      <x:c r="P157" s="9"/>
      <x:c r="Q157" s="9"/>
      <x:c r="R157" s="9"/>
      <x:c r="S157" s="9"/>
      <x:c r="T157" s="9"/>
      <x:c r="U157" s="9"/>
      <x:c r="V157" s="9"/>
      <x:c r="W157" s="9"/>
      <x:c r="X157" s="9"/>
    </x:row>
    <x:row r="158">
      <x:c r="A158" s="9"/>
      <x:c r="B158" s="9"/>
      <x:c r="C158" s="9"/>
      <x:c r="D158" s="9"/>
      <x:c r="E158" s="9"/>
      <x:c r="F158" s="9"/>
      <x:c r="G158" s="9"/>
      <x:c r="I158" s="9"/>
      <x:c r="J158" s="9"/>
      <x:c r="K158" s="9"/>
      <x:c r="L158" s="9"/>
      <x:c r="M158" s="9"/>
      <x:c r="N158" s="9"/>
      <x:c r="O158" s="9"/>
      <x:c r="P158" s="9"/>
      <x:c r="Q158" s="9"/>
      <x:c r="R158" s="9"/>
      <x:c r="S158" s="9"/>
      <x:c r="T158" s="9"/>
      <x:c r="U158" s="9"/>
      <x:c r="V158" s="9"/>
      <x:c r="W158" s="9"/>
      <x:c r="X158" s="9"/>
    </x:row>
    <x:row r="159">
      <x:c r="A159" s="9"/>
      <x:c r="B159" s="9"/>
      <x:c r="C159" s="9"/>
      <x:c r="D159" s="9"/>
      <x:c r="E159" s="9"/>
      <x:c r="F159" s="9"/>
      <x:c r="G159" s="9"/>
      <x:c r="I159" s="9"/>
      <x:c r="J159" s="9"/>
      <x:c r="K159" s="9"/>
      <x:c r="L159" s="9"/>
      <x:c r="M159" s="9"/>
      <x:c r="N159" s="9"/>
      <x:c r="O159" s="9"/>
      <x:c r="P159" s="9"/>
      <x:c r="Q159" s="9"/>
      <x:c r="R159" s="9"/>
      <x:c r="S159" s="9"/>
      <x:c r="T159" s="9"/>
      <x:c r="U159" s="9"/>
      <x:c r="V159" s="9"/>
      <x:c r="W159" s="9"/>
      <x:c r="X159" s="9"/>
    </x:row>
    <x:row r="160">
      <x:c r="A160" s="9"/>
      <x:c r="B160" s="9"/>
      <x:c r="C160" s="9"/>
      <x:c r="D160" s="9"/>
      <x:c r="E160" s="9"/>
      <x:c r="F160" s="9"/>
      <x:c r="G160" s="9"/>
      <x:c r="I160" s="9"/>
      <x:c r="J160" s="9"/>
      <x:c r="K160" s="9"/>
      <x:c r="L160" s="9"/>
      <x:c r="M160" s="9"/>
      <x:c r="N160" s="9"/>
      <x:c r="O160" s="9"/>
      <x:c r="P160" s="9"/>
      <x:c r="Q160" s="9"/>
      <x:c r="R160" s="9"/>
      <x:c r="S160" s="9"/>
      <x:c r="T160" s="9"/>
      <x:c r="U160" s="9"/>
      <x:c r="V160" s="9"/>
      <x:c r="W160" s="9"/>
      <x:c r="X160" s="9"/>
    </x:row>
    <x:row r="161">
      <x:c r="A161" s="9"/>
      <x:c r="B161" s="9"/>
      <x:c r="C161" s="9"/>
      <x:c r="D161" s="9"/>
      <x:c r="E161" s="9"/>
      <x:c r="F161" s="9"/>
      <x:c r="G161" s="9"/>
      <x:c r="I161" s="9"/>
      <x:c r="J161" s="9"/>
      <x:c r="K161" s="9"/>
      <x:c r="L161" s="9"/>
      <x:c r="M161" s="9"/>
      <x:c r="N161" s="9"/>
      <x:c r="O161" s="9"/>
      <x:c r="P161" s="9"/>
      <x:c r="Q161" s="9"/>
      <x:c r="R161" s="9"/>
      <x:c r="S161" s="9"/>
      <x:c r="T161" s="9"/>
      <x:c r="U161" s="9"/>
      <x:c r="V161" s="9"/>
      <x:c r="W161" s="9"/>
      <x:c r="X161" s="9"/>
    </x:row>
    <x:row r="162">
      <x:c r="A162" s="9"/>
      <x:c r="B162" s="9"/>
      <x:c r="C162" s="9"/>
      <x:c r="D162" s="9"/>
      <x:c r="E162" s="9"/>
      <x:c r="F162" s="9"/>
      <x:c r="G162" s="9"/>
      <x:c r="I162" s="9"/>
      <x:c r="J162" s="9"/>
      <x:c r="K162" s="9"/>
      <x:c r="L162" s="9"/>
      <x:c r="M162" s="9"/>
      <x:c r="N162" s="9"/>
      <x:c r="O162" s="9"/>
      <x:c r="P162" s="9"/>
      <x:c r="Q162" s="9"/>
      <x:c r="R162" s="9"/>
      <x:c r="S162" s="9"/>
      <x:c r="T162" s="9"/>
      <x:c r="U162" s="9"/>
      <x:c r="V162" s="9"/>
      <x:c r="W162" s="9"/>
      <x:c r="X162" s="9"/>
    </x:row>
    <x:row r="163">
      <x:c r="A163" s="9"/>
      <x:c r="B163" s="9"/>
      <x:c r="C163" s="9"/>
      <x:c r="D163" s="9"/>
      <x:c r="E163" s="9"/>
      <x:c r="F163" s="9"/>
      <x:c r="G163" s="9"/>
      <x:c r="I163" s="9"/>
      <x:c r="J163" s="9"/>
      <x:c r="K163" s="9"/>
      <x:c r="L163" s="9"/>
      <x:c r="M163" s="9"/>
      <x:c r="N163" s="9"/>
      <x:c r="O163" s="9"/>
      <x:c r="P163" s="9"/>
      <x:c r="Q163" s="9"/>
      <x:c r="R163" s="9"/>
      <x:c r="S163" s="9"/>
      <x:c r="T163" s="9"/>
      <x:c r="U163" s="9"/>
      <x:c r="V163" s="9"/>
      <x:c r="W163" s="9"/>
      <x:c r="X163" s="9"/>
    </x:row>
    <x:row r="164">
      <x:c r="A164" s="9"/>
      <x:c r="B164" s="9"/>
      <x:c r="C164" s="9"/>
      <x:c r="D164" s="9"/>
      <x:c r="E164" s="9"/>
      <x:c r="F164" s="9"/>
      <x:c r="G164" s="9"/>
      <x:c r="I164" s="9"/>
      <x:c r="J164" s="9"/>
      <x:c r="K164" s="9"/>
      <x:c r="L164" s="9"/>
      <x:c r="M164" s="9"/>
      <x:c r="N164" s="9"/>
      <x:c r="O164" s="9"/>
      <x:c r="P164" s="9"/>
      <x:c r="Q164" s="9"/>
      <x:c r="R164" s="9"/>
      <x:c r="S164" s="9"/>
      <x:c r="T164" s="9"/>
      <x:c r="U164" s="9"/>
      <x:c r="V164" s="9"/>
      <x:c r="W164" s="9"/>
      <x:c r="X164" s="9"/>
    </x:row>
    <x:row r="165">
      <x:c r="A165" s="9"/>
      <x:c r="B165" s="9"/>
      <x:c r="C165" s="9"/>
      <x:c r="D165" s="9"/>
      <x:c r="E165" s="9"/>
      <x:c r="F165" s="9"/>
      <x:c r="G165" s="9"/>
      <x:c r="I165" s="9"/>
      <x:c r="J165" s="9"/>
      <x:c r="K165" s="9"/>
      <x:c r="L165" s="9"/>
      <x:c r="M165" s="9"/>
      <x:c r="N165" s="9"/>
      <x:c r="O165" s="9"/>
      <x:c r="P165" s="9"/>
      <x:c r="Q165" s="9"/>
      <x:c r="R165" s="9"/>
      <x:c r="S165" s="9"/>
      <x:c r="T165" s="9"/>
      <x:c r="U165" s="9"/>
      <x:c r="V165" s="9"/>
      <x:c r="W165" s="9"/>
      <x:c r="X165" s="9"/>
    </x:row>
    <x:row r="166">
      <x:c r="A166" s="9"/>
      <x:c r="B166" s="9"/>
      <x:c r="C166" s="9"/>
      <x:c r="D166" s="9"/>
      <x:c r="E166" s="9"/>
      <x:c r="F166" s="9"/>
      <x:c r="G166" s="9"/>
      <x:c r="I166" s="9"/>
      <x:c r="J166" s="9"/>
      <x:c r="K166" s="9"/>
      <x:c r="L166" s="9"/>
      <x:c r="M166" s="9"/>
      <x:c r="N166" s="9"/>
      <x:c r="O166" s="9"/>
      <x:c r="P166" s="9"/>
      <x:c r="Q166" s="9"/>
      <x:c r="R166" s="9"/>
      <x:c r="S166" s="9"/>
      <x:c r="T166" s="9"/>
      <x:c r="U166" s="9"/>
      <x:c r="V166" s="9"/>
      <x:c r="W166" s="9"/>
      <x:c r="X166" s="9"/>
    </x:row>
    <x:row r="167">
      <x:c r="A167" s="9"/>
      <x:c r="B167" s="9"/>
      <x:c r="C167" s="9"/>
      <x:c r="D167" s="9"/>
      <x:c r="E167" s="9"/>
      <x:c r="F167" s="9"/>
      <x:c r="G167" s="9"/>
      <x:c r="I167" s="9"/>
      <x:c r="J167" s="9"/>
      <x:c r="K167" s="9"/>
      <x:c r="L167" s="9"/>
      <x:c r="M167" s="9"/>
      <x:c r="N167" s="9"/>
      <x:c r="O167" s="9"/>
      <x:c r="P167" s="9"/>
      <x:c r="Q167" s="9"/>
      <x:c r="R167" s="9"/>
      <x:c r="S167" s="9"/>
      <x:c r="T167" s="9"/>
      <x:c r="U167" s="9"/>
      <x:c r="V167" s="9"/>
      <x:c r="W167" s="9"/>
      <x:c r="X167" s="9"/>
    </x:row>
    <x:row r="168">
      <x:c r="A168" s="9"/>
      <x:c r="B168" s="9"/>
      <x:c r="C168" s="9"/>
      <x:c r="D168" s="9"/>
      <x:c r="E168" s="9"/>
      <x:c r="F168" s="9"/>
      <x:c r="G168" s="9"/>
      <x:c r="I168" s="9"/>
      <x:c r="J168" s="9"/>
      <x:c r="K168" s="9"/>
      <x:c r="L168" s="9"/>
      <x:c r="M168" s="9"/>
      <x:c r="N168" s="9"/>
      <x:c r="O168" s="9"/>
      <x:c r="P168" s="9"/>
      <x:c r="Q168" s="9"/>
      <x:c r="R168" s="9"/>
      <x:c r="S168" s="9"/>
      <x:c r="T168" s="9"/>
      <x:c r="U168" s="9"/>
      <x:c r="V168" s="9"/>
      <x:c r="W168" s="9"/>
      <x:c r="X168" s="9"/>
    </x:row>
    <x:row r="169">
      <x:c r="A169" s="9"/>
      <x:c r="B169" s="9"/>
      <x:c r="C169" s="9"/>
      <x:c r="D169" s="9"/>
      <x:c r="E169" s="9"/>
      <x:c r="F169" s="9"/>
      <x:c r="G169" s="9"/>
      <x:c r="I169" s="9"/>
      <x:c r="J169" s="9"/>
      <x:c r="K169" s="9"/>
      <x:c r="L169" s="9"/>
      <x:c r="M169" s="9"/>
      <x:c r="N169" s="9"/>
      <x:c r="O169" s="9"/>
      <x:c r="P169" s="9"/>
      <x:c r="Q169" s="9"/>
      <x:c r="R169" s="9"/>
      <x:c r="S169" s="9"/>
      <x:c r="T169" s="9"/>
      <x:c r="U169" s="9"/>
      <x:c r="V169" s="9"/>
      <x:c r="W169" s="9"/>
      <x:c r="X169" s="9"/>
    </x:row>
    <x:row r="170">
      <x:c r="A170" s="9"/>
      <x:c r="B170" s="9"/>
      <x:c r="C170" s="9"/>
      <x:c r="D170" s="9"/>
      <x:c r="E170" s="9"/>
      <x:c r="F170" s="9"/>
      <x:c r="G170" s="9"/>
      <x:c r="I170" s="9"/>
      <x:c r="J170" s="9"/>
      <x:c r="K170" s="9"/>
      <x:c r="L170" s="9"/>
      <x:c r="M170" s="9"/>
      <x:c r="N170" s="9"/>
      <x:c r="O170" s="9"/>
      <x:c r="P170" s="9"/>
      <x:c r="Q170" s="9"/>
      <x:c r="R170" s="9"/>
      <x:c r="S170" s="9"/>
      <x:c r="T170" s="9"/>
      <x:c r="U170" s="9"/>
      <x:c r="V170" s="9"/>
      <x:c r="W170" s="9"/>
      <x:c r="X170" s="9"/>
    </x:row>
    <x:row r="171">
      <x:c r="A171" s="9"/>
      <x:c r="B171" s="9"/>
      <x:c r="C171" s="9"/>
      <x:c r="D171" s="9"/>
      <x:c r="E171" s="9"/>
      <x:c r="F171" s="9"/>
      <x:c r="G171" s="9"/>
      <x:c r="I171" s="9"/>
      <x:c r="J171" s="9"/>
      <x:c r="K171" s="9"/>
      <x:c r="L171" s="9"/>
      <x:c r="M171" s="9"/>
      <x:c r="N171" s="9"/>
      <x:c r="O171" s="9"/>
      <x:c r="P171" s="9"/>
      <x:c r="Q171" s="9"/>
      <x:c r="R171" s="9"/>
      <x:c r="S171" s="9"/>
      <x:c r="T171" s="9"/>
      <x:c r="U171" s="9"/>
      <x:c r="V171" s="9"/>
      <x:c r="W171" s="9"/>
      <x:c r="X171" s="9"/>
    </x:row>
    <x:row r="172">
      <x:c r="A172" s="9"/>
      <x:c r="B172" s="9"/>
      <x:c r="C172" s="9"/>
      <x:c r="D172" s="9"/>
      <x:c r="E172" s="9"/>
      <x:c r="F172" s="9"/>
      <x:c r="G172" s="9"/>
      <x:c r="I172" s="9"/>
      <x:c r="J172" s="9"/>
      <x:c r="K172" s="9"/>
      <x:c r="L172" s="9"/>
      <x:c r="M172" s="9"/>
      <x:c r="N172" s="9"/>
      <x:c r="O172" s="9"/>
      <x:c r="P172" s="9"/>
      <x:c r="Q172" s="9"/>
      <x:c r="R172" s="9"/>
      <x:c r="S172" s="9"/>
      <x:c r="T172" s="9"/>
      <x:c r="U172" s="9"/>
      <x:c r="V172" s="9"/>
      <x:c r="W172" s="9"/>
      <x:c r="X172" s="9"/>
    </x:row>
    <x:row r="173">
      <x:c r="A173" s="9"/>
      <x:c r="B173" s="9"/>
      <x:c r="C173" s="9"/>
      <x:c r="D173" s="9"/>
      <x:c r="E173" s="9"/>
      <x:c r="F173" s="9"/>
      <x:c r="G173" s="9"/>
      <x:c r="I173" s="9"/>
      <x:c r="J173" s="9"/>
      <x:c r="K173" s="9"/>
      <x:c r="L173" s="9"/>
      <x:c r="M173" s="9"/>
      <x:c r="N173" s="9"/>
      <x:c r="O173" s="9"/>
      <x:c r="P173" s="9"/>
      <x:c r="Q173" s="9"/>
      <x:c r="R173" s="9"/>
      <x:c r="S173" s="9"/>
      <x:c r="T173" s="9"/>
      <x:c r="U173" s="9"/>
      <x:c r="V173" s="9"/>
      <x:c r="W173" s="9"/>
      <x:c r="X173" s="9"/>
    </x:row>
    <x:row r="174">
      <x:c r="A174" s="9"/>
      <x:c r="B174" s="9"/>
      <x:c r="C174" s="9"/>
      <x:c r="D174" s="9"/>
      <x:c r="E174" s="9"/>
      <x:c r="F174" s="9"/>
      <x:c r="G174" s="9"/>
      <x:c r="I174" s="9"/>
      <x:c r="J174" s="9"/>
      <x:c r="K174" s="9"/>
      <x:c r="L174" s="9"/>
      <x:c r="M174" s="9"/>
      <x:c r="N174" s="9"/>
      <x:c r="O174" s="9"/>
      <x:c r="P174" s="9"/>
      <x:c r="Q174" s="9"/>
      <x:c r="R174" s="9"/>
      <x:c r="S174" s="9"/>
      <x:c r="T174" s="9"/>
      <x:c r="U174" s="9"/>
      <x:c r="V174" s="9"/>
      <x:c r="W174" s="9"/>
      <x:c r="X174" s="9"/>
    </x:row>
    <x:row r="175">
      <x:c r="A175" s="9"/>
      <x:c r="B175" s="9"/>
      <x:c r="C175" s="9"/>
      <x:c r="D175" s="9"/>
      <x:c r="E175" s="9"/>
      <x:c r="F175" s="9"/>
      <x:c r="G175" s="9"/>
      <x:c r="I175" s="9"/>
      <x:c r="J175" s="9"/>
      <x:c r="K175" s="9"/>
      <x:c r="L175" s="9"/>
      <x:c r="M175" s="9"/>
      <x:c r="N175" s="9"/>
      <x:c r="O175" s="9"/>
      <x:c r="P175" s="9"/>
      <x:c r="Q175" s="9"/>
      <x:c r="R175" s="9"/>
      <x:c r="S175" s="9"/>
      <x:c r="T175" s="9"/>
      <x:c r="U175" s="9"/>
      <x:c r="V175" s="9"/>
      <x:c r="W175" s="9"/>
      <x:c r="X175" s="9"/>
    </x:row>
    <x:row r="176">
      <x:c r="A176" s="9"/>
      <x:c r="B176" s="9"/>
      <x:c r="C176" s="9"/>
      <x:c r="D176" s="9"/>
      <x:c r="E176" s="9"/>
      <x:c r="F176" s="9"/>
      <x:c r="G176" s="9"/>
      <x:c r="I176" s="9"/>
      <x:c r="J176" s="9"/>
      <x:c r="K176" s="9"/>
      <x:c r="L176" s="9"/>
      <x:c r="M176" s="9"/>
      <x:c r="N176" s="9"/>
      <x:c r="O176" s="9"/>
      <x:c r="P176" s="9"/>
      <x:c r="Q176" s="9"/>
      <x:c r="R176" s="9"/>
      <x:c r="S176" s="9"/>
      <x:c r="T176" s="9"/>
      <x:c r="U176" s="9"/>
      <x:c r="V176" s="9"/>
      <x:c r="W176" s="9"/>
      <x:c r="X176" s="9"/>
    </x:row>
    <x:row r="177">
      <x:c r="A177" s="9"/>
      <x:c r="B177" s="9"/>
      <x:c r="C177" s="9"/>
      <x:c r="D177" s="9"/>
      <x:c r="E177" s="9"/>
      <x:c r="F177" s="9"/>
      <x:c r="G177" s="9"/>
      <x:c r="I177" s="9"/>
      <x:c r="J177" s="9"/>
      <x:c r="K177" s="9"/>
      <x:c r="L177" s="9"/>
      <x:c r="M177" s="9"/>
      <x:c r="N177" s="9"/>
      <x:c r="O177" s="9"/>
      <x:c r="P177" s="9"/>
      <x:c r="Q177" s="9"/>
      <x:c r="R177" s="9"/>
      <x:c r="S177" s="9"/>
      <x:c r="T177" s="9"/>
      <x:c r="U177" s="9"/>
      <x:c r="V177" s="9"/>
      <x:c r="W177" s="9"/>
      <x:c r="X177" s="9"/>
    </x:row>
    <x:row r="178">
      <x:c r="A178" s="9"/>
      <x:c r="B178" s="9"/>
      <x:c r="C178" s="9"/>
      <x:c r="D178" s="9"/>
      <x:c r="E178" s="9"/>
      <x:c r="F178" s="9"/>
      <x:c r="G178" s="9"/>
      <x:c r="I178" s="9"/>
      <x:c r="J178" s="9"/>
      <x:c r="K178" s="9"/>
      <x:c r="L178" s="9"/>
      <x:c r="M178" s="9"/>
      <x:c r="N178" s="9"/>
      <x:c r="O178" s="9"/>
      <x:c r="P178" s="9"/>
      <x:c r="Q178" s="9"/>
      <x:c r="R178" s="9"/>
      <x:c r="S178" s="9"/>
      <x:c r="T178" s="9"/>
      <x:c r="U178" s="9"/>
      <x:c r="V178" s="9"/>
      <x:c r="W178" s="9"/>
      <x:c r="X178" s="9"/>
    </x:row>
    <x:row r="179">
      <x:c r="A179" s="9"/>
      <x:c r="B179" s="9"/>
      <x:c r="C179" s="9"/>
      <x:c r="D179" s="9"/>
      <x:c r="E179" s="9"/>
      <x:c r="F179" s="9"/>
      <x:c r="G179" s="9"/>
      <x:c r="I179" s="9"/>
      <x:c r="J179" s="9"/>
      <x:c r="K179" s="9"/>
      <x:c r="L179" s="9"/>
      <x:c r="M179" s="9"/>
      <x:c r="N179" s="9"/>
      <x:c r="O179" s="9"/>
      <x:c r="P179" s="9"/>
      <x:c r="Q179" s="9"/>
      <x:c r="R179" s="9"/>
      <x:c r="S179" s="9"/>
      <x:c r="T179" s="9"/>
      <x:c r="U179" s="9"/>
      <x:c r="V179" s="9"/>
      <x:c r="W179" s="9"/>
      <x:c r="X179" s="9"/>
    </x:row>
    <x:row r="180">
      <x:c r="A180" s="9"/>
      <x:c r="B180" s="9"/>
      <x:c r="C180" s="9"/>
      <x:c r="D180" s="9"/>
      <x:c r="E180" s="9"/>
      <x:c r="F180" s="9"/>
      <x:c r="G180" s="9"/>
      <x:c r="I180" s="9"/>
      <x:c r="J180" s="9"/>
      <x:c r="K180" s="9"/>
      <x:c r="L180" s="9"/>
      <x:c r="M180" s="9"/>
      <x:c r="N180" s="9"/>
      <x:c r="O180" s="9"/>
      <x:c r="P180" s="9"/>
      <x:c r="Q180" s="9"/>
      <x:c r="R180" s="9"/>
      <x:c r="S180" s="9"/>
      <x:c r="T180" s="9"/>
      <x:c r="U180" s="9"/>
      <x:c r="V180" s="9"/>
      <x:c r="W180" s="9"/>
      <x:c r="X180" s="9"/>
    </x:row>
    <x:row r="181">
      <x:c r="A181" s="9"/>
      <x:c r="B181" s="9"/>
      <x:c r="C181" s="9"/>
      <x:c r="D181" s="9"/>
      <x:c r="E181" s="9"/>
      <x:c r="F181" s="9"/>
      <x:c r="G181" s="9"/>
      <x:c r="I181" s="9"/>
      <x:c r="J181" s="9"/>
      <x:c r="K181" s="9"/>
      <x:c r="L181" s="9"/>
      <x:c r="M181" s="9"/>
      <x:c r="N181" s="9"/>
      <x:c r="O181" s="9"/>
      <x:c r="P181" s="9"/>
      <x:c r="Q181" s="9"/>
      <x:c r="R181" s="9"/>
      <x:c r="S181" s="9"/>
      <x:c r="T181" s="9"/>
      <x:c r="U181" s="9"/>
      <x:c r="V181" s="9"/>
      <x:c r="W181" s="9"/>
      <x:c r="X181" s="9"/>
    </x:row>
    <x:row r="182">
      <x:c r="A182" s="9"/>
      <x:c r="B182" s="9"/>
      <x:c r="C182" s="9"/>
      <x:c r="D182" s="9"/>
      <x:c r="E182" s="9"/>
      <x:c r="F182" s="9"/>
      <x:c r="G182" s="9"/>
      <x:c r="I182" s="9"/>
      <x:c r="J182" s="9"/>
      <x:c r="K182" s="9"/>
      <x:c r="L182" s="9"/>
      <x:c r="M182" s="9"/>
      <x:c r="N182" s="9"/>
      <x:c r="O182" s="9"/>
      <x:c r="P182" s="9"/>
      <x:c r="Q182" s="9"/>
      <x:c r="R182" s="9"/>
      <x:c r="S182" s="9"/>
      <x:c r="T182" s="9"/>
      <x:c r="U182" s="9"/>
      <x:c r="V182" s="9"/>
      <x:c r="W182" s="9"/>
      <x:c r="X182" s="9"/>
    </x:row>
    <x:row r="183">
      <x:c r="A183" s="9"/>
      <x:c r="B183" s="9"/>
      <x:c r="C183" s="9"/>
      <x:c r="D183" s="9"/>
      <x:c r="E183" s="9"/>
      <x:c r="F183" s="9"/>
      <x:c r="G183" s="9"/>
      <x:c r="I183" s="9"/>
      <x:c r="J183" s="9"/>
      <x:c r="K183" s="9"/>
      <x:c r="L183" s="9"/>
      <x:c r="M183" s="9"/>
      <x:c r="N183" s="9"/>
      <x:c r="O183" s="9"/>
      <x:c r="P183" s="9"/>
      <x:c r="Q183" s="9"/>
      <x:c r="R183" s="9"/>
      <x:c r="S183" s="9"/>
      <x:c r="T183" s="9"/>
      <x:c r="U183" s="9"/>
      <x:c r="V183" s="9"/>
      <x:c r="W183" s="9"/>
      <x:c r="X183" s="9"/>
    </x:row>
    <x:row r="184">
      <x:c r="A184" s="9"/>
      <x:c r="B184" s="9"/>
      <x:c r="C184" s="9"/>
      <x:c r="D184" s="9"/>
      <x:c r="E184" s="9"/>
      <x:c r="F184" s="9"/>
      <x:c r="G184" s="9"/>
      <x:c r="I184" s="9"/>
      <x:c r="J184" s="9"/>
      <x:c r="K184" s="9"/>
      <x:c r="L184" s="9"/>
      <x:c r="M184" s="9"/>
      <x:c r="N184" s="9"/>
      <x:c r="O184" s="9"/>
      <x:c r="P184" s="9"/>
      <x:c r="Q184" s="9"/>
      <x:c r="R184" s="9"/>
      <x:c r="S184" s="9"/>
      <x:c r="T184" s="9"/>
      <x:c r="U184" s="9"/>
      <x:c r="V184" s="9"/>
      <x:c r="W184" s="9"/>
      <x:c r="X184" s="9"/>
    </x:row>
    <x:row r="185">
      <x:c r="A185" s="9"/>
      <x:c r="B185" s="9"/>
      <x:c r="C185" s="9"/>
      <x:c r="D185" s="9"/>
      <x:c r="E185" s="9"/>
      <x:c r="F185" s="9"/>
      <x:c r="G185" s="9"/>
      <x:c r="I185" s="9"/>
      <x:c r="J185" s="9"/>
      <x:c r="K185" s="9"/>
      <x:c r="L185" s="9"/>
      <x:c r="M185" s="9"/>
      <x:c r="N185" s="9"/>
      <x:c r="O185" s="9"/>
      <x:c r="P185" s="9"/>
      <x:c r="Q185" s="9"/>
      <x:c r="R185" s="9"/>
      <x:c r="S185" s="9"/>
      <x:c r="T185" s="9"/>
      <x:c r="U185" s="9"/>
      <x:c r="V185" s="9"/>
      <x:c r="W185" s="9"/>
      <x:c r="X185" s="9"/>
    </x:row>
    <x:row r="186">
      <x:c r="A186" s="9"/>
      <x:c r="B186" s="9"/>
      <x:c r="C186" s="9"/>
      <x:c r="D186" s="9"/>
      <x:c r="E186" s="9"/>
      <x:c r="F186" s="9"/>
      <x:c r="G186" s="9"/>
      <x:c r="I186" s="9"/>
      <x:c r="J186" s="9"/>
      <x:c r="K186" s="9"/>
      <x:c r="L186" s="9"/>
      <x:c r="M186" s="9"/>
      <x:c r="N186" s="9"/>
      <x:c r="O186" s="9"/>
      <x:c r="P186" s="9"/>
      <x:c r="Q186" s="9"/>
      <x:c r="R186" s="9"/>
      <x:c r="S186" s="9"/>
      <x:c r="T186" s="9"/>
      <x:c r="U186" s="9"/>
      <x:c r="V186" s="9"/>
      <x:c r="W186" s="9"/>
      <x:c r="X186" s="9"/>
    </x:row>
    <x:row r="187">
      <x:c r="A187" s="9"/>
      <x:c r="B187" s="9"/>
      <x:c r="C187" s="9"/>
      <x:c r="D187" s="9"/>
      <x:c r="E187" s="9"/>
      <x:c r="F187" s="9"/>
      <x:c r="G187" s="9"/>
      <x:c r="I187" s="9"/>
      <x:c r="J187" s="9"/>
      <x:c r="K187" s="9"/>
      <x:c r="L187" s="9"/>
      <x:c r="M187" s="9"/>
      <x:c r="N187" s="9"/>
      <x:c r="O187" s="9"/>
      <x:c r="P187" s="9"/>
      <x:c r="Q187" s="9"/>
      <x:c r="R187" s="9"/>
      <x:c r="S187" s="9"/>
      <x:c r="T187" s="9"/>
      <x:c r="U187" s="9"/>
      <x:c r="V187" s="9"/>
      <x:c r="W187" s="9"/>
      <x:c r="X187" s="9"/>
    </x:row>
    <x:row r="188">
      <x:c r="A188" s="9"/>
      <x:c r="B188" s="9"/>
      <x:c r="C188" s="9"/>
      <x:c r="D188" s="9"/>
      <x:c r="E188" s="9"/>
      <x:c r="F188" s="9"/>
      <x:c r="G188" s="9"/>
      <x:c r="I188" s="9"/>
      <x:c r="J188" s="9"/>
      <x:c r="K188" s="9"/>
      <x:c r="L188" s="9"/>
      <x:c r="M188" s="9"/>
      <x:c r="N188" s="9"/>
      <x:c r="O188" s="9"/>
      <x:c r="P188" s="9"/>
      <x:c r="Q188" s="9"/>
      <x:c r="R188" s="9"/>
      <x:c r="S188" s="9"/>
      <x:c r="T188" s="9"/>
      <x:c r="U188" s="9"/>
      <x:c r="V188" s="9"/>
      <x:c r="W188" s="9"/>
      <x:c r="X188" s="9"/>
    </x:row>
    <x:row r="189">
      <x:c r="A189" s="9"/>
      <x:c r="B189" s="9"/>
      <x:c r="C189" s="9"/>
      <x:c r="D189" s="9"/>
      <x:c r="E189" s="9"/>
      <x:c r="F189" s="9"/>
      <x:c r="G189" s="9"/>
      <x:c r="I189" s="9"/>
      <x:c r="J189" s="9"/>
      <x:c r="K189" s="9"/>
      <x:c r="L189" s="9"/>
      <x:c r="M189" s="9"/>
      <x:c r="N189" s="9"/>
      <x:c r="O189" s="9"/>
      <x:c r="P189" s="9"/>
      <x:c r="Q189" s="9"/>
      <x:c r="R189" s="9"/>
      <x:c r="S189" s="9"/>
      <x:c r="T189" s="9"/>
      <x:c r="U189" s="9"/>
      <x:c r="V189" s="9"/>
      <x:c r="W189" s="9"/>
      <x:c r="X189" s="9"/>
    </x:row>
    <x:row r="190">
      <x:c r="A190" s="9"/>
      <x:c r="B190" s="9"/>
      <x:c r="C190" s="9"/>
      <x:c r="D190" s="9"/>
      <x:c r="E190" s="9"/>
      <x:c r="F190" s="9"/>
      <x:c r="G190" s="9"/>
      <x:c r="I190" s="9"/>
      <x:c r="J190" s="9"/>
      <x:c r="K190" s="9"/>
      <x:c r="L190" s="9"/>
      <x:c r="M190" s="9"/>
      <x:c r="N190" s="9"/>
      <x:c r="O190" s="9"/>
      <x:c r="P190" s="9"/>
      <x:c r="Q190" s="9"/>
      <x:c r="R190" s="9"/>
      <x:c r="S190" s="9"/>
      <x:c r="T190" s="9"/>
      <x:c r="U190" s="9"/>
      <x:c r="V190" s="9"/>
      <x:c r="W190" s="9"/>
      <x:c r="X190" s="9"/>
    </x:row>
    <x:row r="191">
      <x:c r="A191" s="9"/>
      <x:c r="B191" s="9"/>
      <x:c r="C191" s="9"/>
      <x:c r="D191" s="9"/>
      <x:c r="E191" s="9"/>
      <x:c r="F191" s="9"/>
      <x:c r="G191" s="9"/>
      <x:c r="I191" s="9"/>
      <x:c r="J191" s="9"/>
      <x:c r="K191" s="9"/>
      <x:c r="L191" s="9"/>
      <x:c r="M191" s="9"/>
      <x:c r="N191" s="9"/>
      <x:c r="O191" s="9"/>
      <x:c r="P191" s="9"/>
      <x:c r="Q191" s="9"/>
      <x:c r="R191" s="9"/>
      <x:c r="S191" s="9"/>
      <x:c r="T191" s="9"/>
      <x:c r="U191" s="9"/>
      <x:c r="V191" s="9"/>
      <x:c r="W191" s="9"/>
      <x:c r="X191" s="9"/>
    </x:row>
    <x:row r="192">
      <x:c r="A192" s="9"/>
      <x:c r="B192" s="9"/>
      <x:c r="C192" s="9"/>
      <x:c r="D192" s="9"/>
      <x:c r="E192" s="9"/>
      <x:c r="F192" s="9"/>
      <x:c r="G192" s="9"/>
      <x:c r="I192" s="9"/>
      <x:c r="J192" s="9"/>
      <x:c r="K192" s="9"/>
      <x:c r="L192" s="9"/>
      <x:c r="M192" s="9"/>
      <x:c r="N192" s="9"/>
      <x:c r="O192" s="9"/>
      <x:c r="P192" s="9"/>
      <x:c r="Q192" s="9"/>
      <x:c r="R192" s="9"/>
      <x:c r="S192" s="9"/>
      <x:c r="T192" s="9"/>
      <x:c r="U192" s="9"/>
      <x:c r="V192" s="9"/>
      <x:c r="W192" s="9"/>
      <x:c r="X192" s="9"/>
    </x:row>
    <x:row r="193">
      <x:c r="A193" s="9"/>
      <x:c r="B193" s="9"/>
      <x:c r="C193" s="9"/>
      <x:c r="D193" s="9"/>
      <x:c r="E193" s="9"/>
      <x:c r="F193" s="9"/>
      <x:c r="G193" s="9"/>
      <x:c r="I193" s="9"/>
      <x:c r="J193" s="9"/>
      <x:c r="K193" s="9"/>
      <x:c r="L193" s="9"/>
      <x:c r="M193" s="9"/>
      <x:c r="N193" s="9"/>
      <x:c r="O193" s="9"/>
      <x:c r="P193" s="9"/>
      <x:c r="Q193" s="9"/>
      <x:c r="R193" s="9"/>
      <x:c r="S193" s="9"/>
      <x:c r="T193" s="9"/>
      <x:c r="U193" s="9"/>
      <x:c r="V193" s="9"/>
      <x:c r="W193" s="9"/>
      <x:c r="X193" s="9"/>
    </x:row>
    <x:row r="194">
      <x:c r="A194" s="9"/>
      <x:c r="B194" s="9"/>
      <x:c r="C194" s="9"/>
      <x:c r="D194" s="9"/>
      <x:c r="E194" s="9"/>
      <x:c r="F194" s="9"/>
      <x:c r="G194" s="9"/>
      <x:c r="I194" s="9"/>
      <x:c r="J194" s="9"/>
      <x:c r="K194" s="9"/>
      <x:c r="L194" s="9"/>
      <x:c r="M194" s="9"/>
      <x:c r="N194" s="9"/>
      <x:c r="O194" s="9"/>
      <x:c r="P194" s="9"/>
      <x:c r="Q194" s="9"/>
      <x:c r="R194" s="9"/>
      <x:c r="S194" s="9"/>
      <x:c r="T194" s="9"/>
      <x:c r="U194" s="9"/>
      <x:c r="V194" s="9"/>
      <x:c r="W194" s="9"/>
      <x:c r="X194" s="9"/>
    </x:row>
    <x:row r="195">
      <x:c r="A195" s="9"/>
      <x:c r="B195" s="9"/>
      <x:c r="C195" s="9"/>
      <x:c r="D195" s="9"/>
      <x:c r="E195" s="9"/>
      <x:c r="F195" s="9"/>
      <x:c r="G195" s="9"/>
      <x:c r="I195" s="9"/>
      <x:c r="J195" s="9"/>
      <x:c r="K195" s="9"/>
      <x:c r="L195" s="9"/>
      <x:c r="M195" s="9"/>
      <x:c r="N195" s="9"/>
      <x:c r="O195" s="9"/>
      <x:c r="P195" s="9"/>
      <x:c r="Q195" s="9"/>
      <x:c r="R195" s="9"/>
      <x:c r="S195" s="9"/>
      <x:c r="T195" s="9"/>
      <x:c r="U195" s="9"/>
      <x:c r="V195" s="9"/>
      <x:c r="W195" s="9"/>
      <x:c r="X195" s="9"/>
    </x:row>
    <x:row r="196">
      <x:c r="A196" s="9"/>
      <x:c r="B196" s="9"/>
      <x:c r="C196" s="9"/>
      <x:c r="D196" s="9"/>
      <x:c r="E196" s="9"/>
      <x:c r="F196" s="9"/>
      <x:c r="G196" s="9"/>
      <x:c r="I196" s="9"/>
      <x:c r="J196" s="9"/>
      <x:c r="K196" s="9"/>
      <x:c r="L196" s="9"/>
      <x:c r="M196" s="9"/>
      <x:c r="N196" s="9"/>
      <x:c r="O196" s="9"/>
      <x:c r="P196" s="9"/>
      <x:c r="Q196" s="9"/>
      <x:c r="R196" s="9"/>
      <x:c r="S196" s="9"/>
      <x:c r="T196" s="9"/>
      <x:c r="U196" s="9"/>
      <x:c r="V196" s="9"/>
      <x:c r="W196" s="9"/>
      <x:c r="X196" s="9"/>
    </x:row>
    <x:row r="197">
      <x:c r="A197" s="9"/>
      <x:c r="B197" s="9"/>
      <x:c r="C197" s="9"/>
      <x:c r="D197" s="9"/>
      <x:c r="E197" s="9"/>
      <x:c r="F197" s="9"/>
      <x:c r="G197" s="9"/>
      <x:c r="I197" s="9"/>
      <x:c r="J197" s="9"/>
      <x:c r="K197" s="9"/>
      <x:c r="L197" s="9"/>
      <x:c r="M197" s="9"/>
      <x:c r="N197" s="9"/>
      <x:c r="O197" s="9"/>
      <x:c r="P197" s="9"/>
      <x:c r="Q197" s="9"/>
      <x:c r="R197" s="9"/>
      <x:c r="S197" s="9"/>
      <x:c r="T197" s="9"/>
      <x:c r="U197" s="9"/>
      <x:c r="V197" s="9"/>
      <x:c r="W197" s="9"/>
      <x:c r="X197" s="9"/>
    </x:row>
    <x:row r="198">
      <x:c r="A198" s="9"/>
      <x:c r="B198" s="9"/>
      <x:c r="C198" s="9"/>
      <x:c r="D198" s="9"/>
      <x:c r="E198" s="9"/>
      <x:c r="F198" s="9"/>
      <x:c r="G198" s="9"/>
      <x:c r="I198" s="9"/>
      <x:c r="J198" s="9"/>
      <x:c r="K198" s="9"/>
      <x:c r="L198" s="9"/>
      <x:c r="M198" s="9"/>
      <x:c r="N198" s="9"/>
      <x:c r="O198" s="9"/>
      <x:c r="P198" s="9"/>
      <x:c r="Q198" s="9"/>
      <x:c r="R198" s="9"/>
      <x:c r="S198" s="9"/>
      <x:c r="T198" s="9"/>
      <x:c r="U198" s="9"/>
      <x:c r="V198" s="9"/>
      <x:c r="W198" s="9"/>
      <x:c r="X198" s="9"/>
    </x:row>
    <x:row r="199">
      <x:c r="A199" s="9"/>
      <x:c r="B199" s="9"/>
      <x:c r="C199" s="9"/>
      <x:c r="D199" s="9"/>
      <x:c r="E199" s="9"/>
      <x:c r="F199" s="9"/>
      <x:c r="G199" s="9"/>
      <x:c r="I199" s="9"/>
      <x:c r="J199" s="9"/>
      <x:c r="K199" s="9"/>
      <x:c r="L199" s="9"/>
      <x:c r="M199" s="9"/>
      <x:c r="N199" s="9"/>
      <x:c r="O199" s="9"/>
      <x:c r="P199" s="9"/>
      <x:c r="Q199" s="9"/>
      <x:c r="R199" s="9"/>
      <x:c r="S199" s="9"/>
      <x:c r="T199" s="9"/>
      <x:c r="U199" s="9"/>
      <x:c r="V199" s="9"/>
      <x:c r="W199" s="9"/>
      <x:c r="X199" s="9"/>
    </x:row>
    <x:row r="200">
      <x:c r="A200" s="9"/>
      <x:c r="B200" s="9"/>
      <x:c r="C200" s="9"/>
      <x:c r="D200" s="9"/>
      <x:c r="E200" s="9"/>
      <x:c r="F200" s="9"/>
      <x:c r="G200" s="9"/>
      <x:c r="I200" s="9"/>
      <x:c r="J200" s="9"/>
      <x:c r="K200" s="9"/>
      <x:c r="L200" s="9"/>
      <x:c r="M200" s="9"/>
      <x:c r="N200" s="9"/>
      <x:c r="O200" s="9"/>
      <x:c r="P200" s="9"/>
      <x:c r="Q200" s="9"/>
      <x:c r="R200" s="9"/>
      <x:c r="S200" s="9"/>
      <x:c r="T200" s="9"/>
      <x:c r="U200" s="9"/>
      <x:c r="V200" s="9"/>
      <x:c r="W200" s="9"/>
      <x:c r="X200" s="9"/>
    </x:row>
  </x:sheetData>
  <x:mergeCells>
    <x:mergeCell ref="G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7.940000057220459" hidden="0" customWidth="1"/>
    <x:col min="2" max="2" width="3.7699999809265137" hidden="0" customWidth="1"/>
    <x:col min="3" max="3" width="4.980000019073486" hidden="0" customWidth="1"/>
    <x:col min="4" max="4" width="6.460000038146973" hidden="0" customWidth="1"/>
    <x:col min="5" max="5" width="6.460000038146973" hidden="0" customWidth="1"/>
    <x:col min="6" max="6" width="4.980000019073486" hidden="0" customWidth="1"/>
  </x:cols>
  <x:sheetData>
    <x:row r="1" ht="22.350000381469727" customHeight="1">
      <x:c r="A1" s="40" t="s">
        <x:v>30</x:v>
      </x:c>
      <x:c r="B1" s="40" t="s">
        <x:v>31</x:v>
      </x:c>
      <x:c r="C1" s="40" t="s">
        <x:v>32</x:v>
      </x:c>
      <x:c r="D1" s="40" t="s">
        <x:v>33</x:v>
      </x:c>
      <x:c r="E1" s="40" t="s">
        <x:v>34</x:v>
      </x:c>
      <x:c r="F1" s="40" t="s">
        <x:v>35</x:v>
      </x:c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3" t="s">
        <x:v>36</x:v>
      </x:c>
      <x:c r="B2" s="3"/>
      <x:c r="C2" s="3" t="s">
        <x:v>37</x:v>
      </x:c>
      <x:c r="D2" s="3" t="s">
        <x:v>38</x:v>
      </x:c>
      <x:c r="E2" s="3" t="s">
        <x:v>39</x:v>
      </x:c>
      <x:c r="F2" s="3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3" t="s">
        <x:v>40</x:v>
      </x:c>
      <x:c r="B3" s="3"/>
      <x:c r="C3" s="3" t="s">
        <x:v>37</x:v>
      </x:c>
      <x:c r="D3" s="3" t="s">
        <x:v>41</x:v>
      </x:c>
      <x:c r="E3" s="3" t="s">
        <x:v>42</x:v>
      </x:c>
      <x:c r="F3" s="3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3" t="s">
        <x:v>43</x:v>
      </x:c>
      <x:c r="B4" s="3"/>
      <x:c r="C4" s="3" t="s">
        <x:v>44</x:v>
      </x:c>
      <x:c r="D4" s="3" t="s">
        <x:v>45</x:v>
      </x:c>
      <x:c r="E4" s="3" t="s">
        <x:v>46</x:v>
      </x:c>
      <x:c r="F4" s="3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>
      <x:c r="A5" s="3" t="s">
        <x:v>47</x:v>
      </x:c>
      <x:c r="B5" s="3"/>
      <x:c r="C5" s="3" t="s">
        <x:v>44</x:v>
      </x:c>
      <x:c r="D5" s="3" t="s">
        <x:v>48</x:v>
      </x:c>
      <x:c r="E5" s="3" t="s">
        <x:v>49</x:v>
      </x:c>
      <x:c r="F5" s="3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</x:row>
  </x:sheetData>
  <x:dataValidations count="1">
    <x:dataValidation type="list" sqref="F2:F200">
      <x:formula1>"Team_A,Draw,Team_B"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9.960000038146973" hidden="0" customWidth="1"/>
    <x:col min="2" max="2" width="13.1899995803833" hidden="0" customWidth="1"/>
    <x:col min="3" max="3" width="7.940000057220459" hidden="0" customWidth="1"/>
    <x:col min="4" max="4" width="8.34000015258789" hidden="0" customWidth="1"/>
    <x:col min="5" max="5" width="5.920000076293945" hidden="0" customWidth="1"/>
    <x:col min="6" max="6" width="4.980000019073486" hidden="0" customWidth="1"/>
  </x:cols>
  <x:sheetData>
    <x:row r="1" ht="22.350000381469727" customHeight="1">
      <x:c r="A1" s="40" t="s">
        <x:v>0</x:v>
      </x:c>
      <x:c r="B1" s="40" t="s">
        <x:v>1</x:v>
      </x:c>
      <x:c r="C1" s="40" t="s">
        <x:v>30</x:v>
      </x:c>
      <x:c r="D1" s="40" t="s">
        <x:v>50</x:v>
      </x:c>
      <x:c r="E1" s="40" t="s">
        <x:v>51</x:v>
      </x:c>
      <x:c r="F1" s="40" t="s">
        <x:v>52</x:v>
      </x:c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3" t="s">
        <x:v>6</x:v>
      </x:c>
      <x:c r="B2" s="3" t="str">
        <x:f>IFERROR(INDEX(Managers!$B:$B,MATCH(A2,Managers!$A:$A,0)),"")</x:f>
        <x:v>Manager 1</x:v>
      </x:c>
      <x:c r="C2" s="3" t="s">
        <x:v>36</x:v>
      </x:c>
      <x:c r="D2" s="3"/>
      <x:c r="E2" s="3" t="str">
        <x:f>IF(D2="","",D2=IFERROR(INDEX(Matches_1!$F:$F,MATCH(C2,Matches_1!$A:$A,0)),""))</x:f>
      </x:c>
      <x:c r="F2" s="3" t="n">
        <x:f t="shared" ref="F2:F25" si="0">IF(E2=TRUE,3,0)</x:f>
        <x:v>0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3" t="s">
        <x:v>6</x:v>
      </x:c>
      <x:c r="B3" s="3" t="str">
        <x:f>IFERROR(INDEX(Managers!$B:$B,MATCH(A3,Managers!$A:$A,0)),"")</x:f>
        <x:v>Manager 1</x:v>
      </x:c>
      <x:c r="C3" s="3" t="s">
        <x:v>40</x:v>
      </x:c>
      <x:c r="D3" s="3"/>
      <x:c r="E3" s="3" t="str">
        <x:f>IF(D3="","",D3=IFERROR(INDEX(Matches_1!$F:$F,MATCH(C3,Matches_1!$A:$A,0)),""))</x:f>
      </x:c>
      <x:c r="F3" s="3" t="n">
        <x:f t="shared" si="0">IF(E3=TRUE,3,0)</x:f>
        <x:v>0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3" t="s">
        <x:v>6</x:v>
      </x:c>
      <x:c r="B4" s="3" t="str">
        <x:f>IFERROR(INDEX(Managers!$B:$B,MATCH(A4,Managers!$A:$A,0)),"")</x:f>
        <x:v>Manager 1</x:v>
      </x:c>
      <x:c r="C4" s="3" t="s">
        <x:v>43</x:v>
      </x:c>
      <x:c r="D4" s="3"/>
      <x:c r="E4" s="3" t="str">
        <x:f>IF(D4="","",D4=IFERROR(INDEX(Matches_1!$F:$F,MATCH(C4,Matches_1!$A:$A,0)),""))</x:f>
      </x:c>
      <x:c r="F4" s="3" t="n">
        <x:f t="shared" si="0">IF(E4=TRUE,3,0)</x:f>
        <x:v>0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3" t="s">
        <x:v>6</x:v>
      </x:c>
      <x:c r="B5" s="3" t="str">
        <x:f>IFERROR(INDEX(Managers!$B:$B,MATCH(A5,Managers!$A:$A,0)),"")</x:f>
        <x:v>Manager 1</x:v>
      </x:c>
      <x:c r="C5" s="3" t="s">
        <x:v>47</x:v>
      </x:c>
      <x:c r="D5" s="3"/>
      <x:c r="E5" s="3" t="str">
        <x:f>IF(D5="","",D5=IFERROR(INDEX(Matches_1!$F:$F,MATCH(C5,Matches_1!$A:$A,0)),""))</x:f>
      </x:c>
      <x:c r="F5" s="3" t="n">
        <x:f t="shared" si="0">IF(E5=TRUE,3,0)</x:f>
        <x:v>0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A6" s="3" t="s">
        <x:v>10</x:v>
      </x:c>
      <x:c r="B6" s="3" t="str">
        <x:f>IFERROR(INDEX(Managers!$B:$B,MATCH(A6,Managers!$A:$A,0)),"")</x:f>
        <x:v>Manager 2</x:v>
      </x:c>
      <x:c r="C6" s="3" t="s">
        <x:v>36</x:v>
      </x:c>
      <x:c r="D6" s="3"/>
      <x:c r="E6" s="3" t="str">
        <x:f>IF(D6="","",D6=IFERROR(INDEX(Matches_1!$F:$F,MATCH(C6,Matches_1!$A:$A,0)),""))</x:f>
      </x:c>
      <x:c r="F6" s="3" t="n">
        <x:f t="shared" si="0">IF(E6=TRUE,3,0)</x:f>
        <x:v>0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>
      <x:c r="A7" s="3" t="s">
        <x:v>10</x:v>
      </x:c>
      <x:c r="B7" s="3" t="str">
        <x:f>IFERROR(INDEX(Managers!$B:$B,MATCH(A7,Managers!$A:$A,0)),"")</x:f>
        <x:v>Manager 2</x:v>
      </x:c>
      <x:c r="C7" s="3" t="s">
        <x:v>40</x:v>
      </x:c>
      <x:c r="D7" s="3"/>
      <x:c r="E7" s="3" t="str">
        <x:f>IF(D7="","",D7=IFERROR(INDEX(Matches_1!$F:$F,MATCH(C7,Matches_1!$A:$A,0)),""))</x:f>
      </x:c>
      <x:c r="F7" s="3" t="n">
        <x:f t="shared" si="0">IF(E7=TRUE,3,0)</x:f>
        <x:v>0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>
      <x:c r="A8" s="3" t="s">
        <x:v>10</x:v>
      </x:c>
      <x:c r="B8" s="3" t="str">
        <x:f>IFERROR(INDEX(Managers!$B:$B,MATCH(A8,Managers!$A:$A,0)),"")</x:f>
        <x:v>Manager 2</x:v>
      </x:c>
      <x:c r="C8" s="3" t="s">
        <x:v>43</x:v>
      </x:c>
      <x:c r="D8" s="3"/>
      <x:c r="E8" s="3" t="str">
        <x:f>IF(D8="","",D8=IFERROR(INDEX(Matches_1!$F:$F,MATCH(C8,Matches_1!$A:$A,0)),""))</x:f>
      </x:c>
      <x:c r="F8" s="3" t="n">
        <x:f t="shared" si="0">IF(E8=TRUE,3,0)</x:f>
        <x:v>0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>
      <x:c r="A9" s="3" t="s">
        <x:v>10</x:v>
      </x:c>
      <x:c r="B9" s="3" t="str">
        <x:f>IFERROR(INDEX(Managers!$B:$B,MATCH(A9,Managers!$A:$A,0)),"")</x:f>
        <x:v>Manager 2</x:v>
      </x:c>
      <x:c r="C9" s="3" t="s">
        <x:v>47</x:v>
      </x:c>
      <x:c r="D9" s="3"/>
      <x:c r="E9" s="3" t="str">
        <x:f>IF(D9="","",D9=IFERROR(INDEX(Matches_1!$F:$F,MATCH(C9,Matches_1!$A:$A,0)),""))</x:f>
      </x:c>
      <x:c r="F9" s="3" t="n">
        <x:f t="shared" si="0">IF(E9=TRUE,3,0)</x:f>
        <x:v>0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>
      <x:c r="A10" s="3" t="s">
        <x:v>14</x:v>
      </x:c>
      <x:c r="B10" s="3" t="str">
        <x:f>IFERROR(INDEX(Managers!$B:$B,MATCH(A10,Managers!$A:$A,0)),"")</x:f>
        <x:v>Manager 3</x:v>
      </x:c>
      <x:c r="C10" s="3" t="s">
        <x:v>36</x:v>
      </x:c>
      <x:c r="D10" s="3"/>
      <x:c r="E10" s="3" t="str">
        <x:f>IF(D10="","",D10=IFERROR(INDEX(Matches_1!$F:$F,MATCH(C10,Matches_1!$A:$A,0)),""))</x:f>
      </x:c>
      <x:c r="F10" s="3" t="n">
        <x:f t="shared" si="0">IF(E10=TRUE,3,0)</x:f>
        <x:v>0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>
      <x:c r="A11" s="3" t="s">
        <x:v>14</x:v>
      </x:c>
      <x:c r="B11" s="3" t="str">
        <x:f>IFERROR(INDEX(Managers!$B:$B,MATCH(A11,Managers!$A:$A,0)),"")</x:f>
        <x:v>Manager 3</x:v>
      </x:c>
      <x:c r="C11" s="3" t="s">
        <x:v>40</x:v>
      </x:c>
      <x:c r="D11" s="3"/>
      <x:c r="E11" s="3" t="str">
        <x:f>IF(D11="","",D11=IFERROR(INDEX(Matches_1!$F:$F,MATCH(C11,Matches_1!$A:$A,0)),""))</x:f>
      </x:c>
      <x:c r="F11" s="3" t="n">
        <x:f t="shared" si="0">IF(E11=TRUE,3,0)</x:f>
        <x:v>0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>
      <x:c r="A12" s="3" t="s">
        <x:v>14</x:v>
      </x:c>
      <x:c r="B12" s="3" t="str">
        <x:f>IFERROR(INDEX(Managers!$B:$B,MATCH(A12,Managers!$A:$A,0)),"")</x:f>
        <x:v>Manager 3</x:v>
      </x:c>
      <x:c r="C12" s="3" t="s">
        <x:v>43</x:v>
      </x:c>
      <x:c r="D12" s="3"/>
      <x:c r="E12" s="3" t="str">
        <x:f>IF(D12="","",D12=IFERROR(INDEX(Matches_1!$F:$F,MATCH(C12,Matches_1!$A:$A,0)),""))</x:f>
      </x:c>
      <x:c r="F12" s="3" t="n">
        <x:f t="shared" si="0">IF(E12=TRUE,3,0)</x:f>
        <x:v>0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>
      <x:c r="A13" s="3" t="s">
        <x:v>14</x:v>
      </x:c>
      <x:c r="B13" s="3" t="str">
        <x:f>IFERROR(INDEX(Managers!$B:$B,MATCH(A13,Managers!$A:$A,0)),"")</x:f>
        <x:v>Manager 3</x:v>
      </x:c>
      <x:c r="C13" s="3" t="s">
        <x:v>47</x:v>
      </x:c>
      <x:c r="D13" s="3"/>
      <x:c r="E13" s="3" t="str">
        <x:f>IF(D13="","",D13=IFERROR(INDEX(Matches_1!$F:$F,MATCH(C13,Matches_1!$A:$A,0)),""))</x:f>
      </x:c>
      <x:c r="F13" s="3" t="n">
        <x:f t="shared" si="0">IF(E13=TRUE,3,0)</x:f>
        <x:v>0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>
      <x:c r="A14" s="3" t="s">
        <x:v>18</x:v>
      </x:c>
      <x:c r="B14" s="3" t="str">
        <x:f>IFERROR(INDEX(Managers!$B:$B,MATCH(A14,Managers!$A:$A,0)),"")</x:f>
        <x:v>Manager 4</x:v>
      </x:c>
      <x:c r="C14" s="3" t="s">
        <x:v>36</x:v>
      </x:c>
      <x:c r="D14" s="3"/>
      <x:c r="E14" s="3" t="str">
        <x:f>IF(D14="","",D14=IFERROR(INDEX(Matches_1!$F:$F,MATCH(C14,Matches_1!$A:$A,0)),""))</x:f>
      </x:c>
      <x:c r="F14" s="3" t="n">
        <x:f t="shared" si="0">IF(E14=TRUE,3,0)</x:f>
        <x:v>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>
      <x:c r="A15" s="3" t="s">
        <x:v>18</x:v>
      </x:c>
      <x:c r="B15" s="3" t="str">
        <x:f>IFERROR(INDEX(Managers!$B:$B,MATCH(A15,Managers!$A:$A,0)),"")</x:f>
        <x:v>Manager 4</x:v>
      </x:c>
      <x:c r="C15" s="3" t="s">
        <x:v>40</x:v>
      </x:c>
      <x:c r="D15" s="3"/>
      <x:c r="E15" s="3" t="str">
        <x:f>IF(D15="","",D15=IFERROR(INDEX(Matches_1!$F:$F,MATCH(C15,Matches_1!$A:$A,0)),""))</x:f>
      </x:c>
      <x:c r="F15" s="3" t="n">
        <x:f t="shared" si="0">IF(E15=TRUE,3,0)</x:f>
        <x:v>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>
      <x:c r="A16" s="3" t="s">
        <x:v>18</x:v>
      </x:c>
      <x:c r="B16" s="3" t="str">
        <x:f>IFERROR(INDEX(Managers!$B:$B,MATCH(A16,Managers!$A:$A,0)),"")</x:f>
        <x:v>Manager 4</x:v>
      </x:c>
      <x:c r="C16" s="3" t="s">
        <x:v>43</x:v>
      </x:c>
      <x:c r="D16" s="3"/>
      <x:c r="E16" s="3" t="str">
        <x:f>IF(D16="","",D16=IFERROR(INDEX(Matches_1!$F:$F,MATCH(C16,Matches_1!$A:$A,0)),""))</x:f>
      </x:c>
      <x:c r="F16" s="3" t="n">
        <x:f t="shared" si="0">IF(E16=TRUE,3,0)</x:f>
        <x:v>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>
      <x:c r="A17" s="3" t="s">
        <x:v>18</x:v>
      </x:c>
      <x:c r="B17" s="3" t="str">
        <x:f>IFERROR(INDEX(Managers!$B:$B,MATCH(A17,Managers!$A:$A,0)),"")</x:f>
        <x:v>Manager 4</x:v>
      </x:c>
      <x:c r="C17" s="3" t="s">
        <x:v>47</x:v>
      </x:c>
      <x:c r="D17" s="3"/>
      <x:c r="E17" s="3" t="str">
        <x:f>IF(D17="","",D17=IFERROR(INDEX(Matches_1!$F:$F,MATCH(C17,Matches_1!$A:$A,0)),""))</x:f>
      </x:c>
      <x:c r="F17" s="3" t="n">
        <x:f t="shared" si="0">IF(E17=TRUE,3,0)</x:f>
        <x:v>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>
      <x:c r="A18" s="3" t="s">
        <x:v>22</x:v>
      </x:c>
      <x:c r="B18" s="3" t="str">
        <x:f>IFERROR(INDEX(Managers!$B:$B,MATCH(A18,Managers!$A:$A,0)),"")</x:f>
        <x:v>Manager 5</x:v>
      </x:c>
      <x:c r="C18" s="3" t="s">
        <x:v>36</x:v>
      </x:c>
      <x:c r="D18" s="3"/>
      <x:c r="E18" s="3" t="str">
        <x:f>IF(D18="","",D18=IFERROR(INDEX(Matches_1!$F:$F,MATCH(C18,Matches_1!$A:$A,0)),""))</x:f>
      </x:c>
      <x:c r="F18" s="3" t="n">
        <x:f t="shared" si="0">IF(E18=TRUE,3,0)</x:f>
        <x:v>0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>
      <x:c r="A19" s="3" t="s">
        <x:v>22</x:v>
      </x:c>
      <x:c r="B19" s="3" t="str">
        <x:f>IFERROR(INDEX(Managers!$B:$B,MATCH(A19,Managers!$A:$A,0)),"")</x:f>
        <x:v>Manager 5</x:v>
      </x:c>
      <x:c r="C19" s="3" t="s">
        <x:v>40</x:v>
      </x:c>
      <x:c r="D19" s="3"/>
      <x:c r="E19" s="3" t="str">
        <x:f>IF(D19="","",D19=IFERROR(INDEX(Matches_1!$F:$F,MATCH(C19,Matches_1!$A:$A,0)),""))</x:f>
      </x:c>
      <x:c r="F19" s="3" t="n">
        <x:f t="shared" si="0">IF(E19=TRUE,3,0)</x:f>
        <x:v>0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>
      <x:c r="A20" s="3" t="s">
        <x:v>22</x:v>
      </x:c>
      <x:c r="B20" s="3" t="str">
        <x:f>IFERROR(INDEX(Managers!$B:$B,MATCH(A20,Managers!$A:$A,0)),"")</x:f>
        <x:v>Manager 5</x:v>
      </x:c>
      <x:c r="C20" s="3" t="s">
        <x:v>43</x:v>
      </x:c>
      <x:c r="D20" s="3"/>
      <x:c r="E20" s="3" t="str">
        <x:f>IF(D20="","",D20=IFERROR(INDEX(Matches_1!$F:$F,MATCH(C20,Matches_1!$A:$A,0)),""))</x:f>
      </x:c>
      <x:c r="F20" s="3" t="n">
        <x:f t="shared" si="0">IF(E20=TRUE,3,0)</x:f>
        <x:v>0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>
      <x:c r="A21" s="3" t="s">
        <x:v>22</x:v>
      </x:c>
      <x:c r="B21" s="3" t="str">
        <x:f>IFERROR(INDEX(Managers!$B:$B,MATCH(A21,Managers!$A:$A,0)),"")</x:f>
        <x:v>Manager 5</x:v>
      </x:c>
      <x:c r="C21" s="3" t="s">
        <x:v>47</x:v>
      </x:c>
      <x:c r="D21" s="3"/>
      <x:c r="E21" s="3" t="str">
        <x:f>IF(D21="","",D21=IFERROR(INDEX(Matches_1!$F:$F,MATCH(C21,Matches_1!$A:$A,0)),""))</x:f>
      </x:c>
      <x:c r="F21" s="3" t="n">
        <x:f t="shared" si="0">IF(E21=TRUE,3,0)</x:f>
        <x:v>0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>
      <x:c r="A22" s="3" t="s">
        <x:v>26</x:v>
      </x:c>
      <x:c r="B22" s="3" t="str">
        <x:f>IFERROR(INDEX(Managers!$B:$B,MATCH(A22,Managers!$A:$A,0)),"")</x:f>
        <x:v>Manager 6</x:v>
      </x:c>
      <x:c r="C22" s="3" t="s">
        <x:v>36</x:v>
      </x:c>
      <x:c r="D22" s="3"/>
      <x:c r="E22" s="3" t="str">
        <x:f>IF(D22="","",D22=IFERROR(INDEX(Matches_1!$F:$F,MATCH(C22,Matches_1!$A:$A,0)),""))</x:f>
      </x:c>
      <x:c r="F22" s="3" t="n">
        <x:f t="shared" si="0">IF(E22=TRUE,3,0)</x:f>
        <x:v>0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>
      <x:c r="A23" s="3" t="s">
        <x:v>26</x:v>
      </x:c>
      <x:c r="B23" s="3" t="str">
        <x:f>IFERROR(INDEX(Managers!$B:$B,MATCH(A23,Managers!$A:$A,0)),"")</x:f>
        <x:v>Manager 6</x:v>
      </x:c>
      <x:c r="C23" s="3" t="s">
        <x:v>40</x:v>
      </x:c>
      <x:c r="D23" s="3"/>
      <x:c r="E23" s="3" t="str">
        <x:f>IF(D23="","",D23=IFERROR(INDEX(Matches_1!$F:$F,MATCH(C23,Matches_1!$A:$A,0)),""))</x:f>
      </x:c>
      <x:c r="F23" s="3" t="n">
        <x:f t="shared" si="0">IF(E23=TRUE,3,0)</x:f>
        <x:v>0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>
      <x:c r="A24" s="3" t="s">
        <x:v>26</x:v>
      </x:c>
      <x:c r="B24" s="3" t="str">
        <x:f>IFERROR(INDEX(Managers!$B:$B,MATCH(A24,Managers!$A:$A,0)),"")</x:f>
        <x:v>Manager 6</x:v>
      </x:c>
      <x:c r="C24" s="3" t="s">
        <x:v>43</x:v>
      </x:c>
      <x:c r="D24" s="3"/>
      <x:c r="E24" s="3" t="str">
        <x:f>IF(D24="","",D24=IFERROR(INDEX(Matches_1!$F:$F,MATCH(C24,Matches_1!$A:$A,0)),""))</x:f>
      </x:c>
      <x:c r="F24" s="3" t="n">
        <x:f t="shared" si="0">IF(E24=TRUE,3,0)</x:f>
        <x:v>0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>
      <x:c r="A25" s="3" t="s">
        <x:v>26</x:v>
      </x:c>
      <x:c r="B25" s="3" t="str">
        <x:f>IFERROR(INDEX(Managers!$B:$B,MATCH(A25,Managers!$A:$A,0)),"")</x:f>
        <x:v>Manager 6</x:v>
      </x:c>
      <x:c r="C25" s="3" t="s">
        <x:v>47</x:v>
      </x:c>
      <x:c r="D25" s="3"/>
      <x:c r="E25" s="3" t="str">
        <x:f>IF(D25="","",D25=IFERROR(INDEX(Matches_1!$F:$F,MATCH(C25,Matches_1!$A:$A,0)),""))</x:f>
      </x:c>
      <x:c r="F25" s="3" t="n">
        <x:f t="shared" si="0">IF(E25=TRUE,3,0)</x:f>
        <x:v>0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</x:row>
  </x:sheetData>
  <x:dataValidations count="1">
    <x:dataValidation type="list" sqref="D2:D500">
      <x:formula1>"Team_A,Draw,Team_B"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4.039999961853027" hidden="0" customWidth="1"/>
    <x:col min="2" max="2" width="9.960000038146973" hidden="0" customWidth="1"/>
    <x:col min="3" max="3" width="13.1899995803833" hidden="0" customWidth="1"/>
    <x:col min="4" max="4" width="4.980000019073486" hidden="0" customWidth="1"/>
    <x:col min="5" max="5" width="11.039999961853027" hidden="0" customWidth="1"/>
  </x:cols>
  <x:sheetData>
    <x:row r="1" ht="22.350000381469727" customHeight="1">
      <x:c r="A1" s="40" t="s">
        <x:v>53</x:v>
      </x:c>
      <x:c r="B1" s="40" t="s">
        <x:v>0</x:v>
      </x:c>
      <x:c r="C1" s="40" t="s">
        <x:v>1</x:v>
      </x:c>
      <x:c r="D1" s="40" t="s">
        <x:v>52</x:v>
      </x:c>
      <x:c r="E1" s="40" t="s">
        <x:v>54</x:v>
      </x:c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3" t="n">
        <x:f t="shared" ref="A2:A7" si="0">RANK(D2,$D$2:$D$20,0)</x:f>
        <x:v>1</x:v>
      </x:c>
      <x:c r="B2" s="3" t="s">
        <x:v>6</x:v>
      </x:c>
      <x:c r="C2" s="3" t="s">
        <x:v>7</x:v>
      </x:c>
      <x:c r="D2" s="3" t="n">
        <x:f>SUMIFS(Predictions_1!$F:$F,Predictions_1!$A:$A,B2)</x:f>
        <x:v>0</x:v>
      </x:c>
      <x:c r="E2" s="3" t="n">
        <x:f>COUNTIFS(Predictions_1!$A:$A,B2,Predictions_1!$E:$E,TRUE)</x:f>
        <x:v>0</x:v>
      </x:c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>
      <x:c r="A3" s="3">
        <x:f t="shared" si="0"/>
        <x:v>1</x:v>
      </x:c>
      <x:c r="B3" s="3" t="s">
        <x:v>10</x:v>
      </x:c>
      <x:c r="C3" s="3" t="s">
        <x:v>11</x:v>
      </x:c>
      <x:c r="D3" s="3" t="n">
        <x:f>SUMIFS(Predictions_1!$F:$F,Predictions_1!$A:$A,B3)</x:f>
        <x:v>0</x:v>
      </x:c>
      <x:c r="E3" s="3" t="n">
        <x:f>COUNTIFS(Predictions_1!$A:$A,B3,Predictions_1!$E:$E,TRUE)</x:f>
        <x:v>0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>
      <x:c r="A4" s="3">
        <x:f t="shared" si="0"/>
        <x:v>1</x:v>
      </x:c>
      <x:c r="B4" s="3" t="s">
        <x:v>14</x:v>
      </x:c>
      <x:c r="C4" s="3" t="s">
        <x:v>15</x:v>
      </x:c>
      <x:c r="D4" s="3" t="n">
        <x:f>SUMIFS(Predictions_1!$F:$F,Predictions_1!$A:$A,B4)</x:f>
        <x:v>0</x:v>
      </x:c>
      <x:c r="E4" s="3" t="n">
        <x:f>COUNTIFS(Predictions_1!$A:$A,B4,Predictions_1!$E:$E,TRUE)</x:f>
        <x:v>0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>
      <x:c r="A5" s="3">
        <x:f t="shared" si="0"/>
        <x:v>1</x:v>
      </x:c>
      <x:c r="B5" s="3" t="s">
        <x:v>18</x:v>
      </x:c>
      <x:c r="C5" s="3" t="s">
        <x:v>19</x:v>
      </x:c>
      <x:c r="D5" s="3" t="n">
        <x:f>SUMIFS(Predictions_1!$F:$F,Predictions_1!$A:$A,B5)</x:f>
        <x:v>0</x:v>
      </x:c>
      <x:c r="E5" s="3" t="n">
        <x:f>COUNTIFS(Predictions_1!$A:$A,B5,Predictions_1!$E:$E,TRUE)</x:f>
        <x:v>0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>
      <x:c r="A6" s="3">
        <x:f t="shared" si="0"/>
        <x:v>1</x:v>
      </x:c>
      <x:c r="B6" s="3" t="s">
        <x:v>22</x:v>
      </x:c>
      <x:c r="C6" s="3" t="s">
        <x:v>23</x:v>
      </x:c>
      <x:c r="D6" s="3" t="n">
        <x:f>SUMIFS(Predictions_1!$F:$F,Predictions_1!$A:$A,B6)</x:f>
        <x:v>0</x:v>
      </x:c>
      <x:c r="E6" s="3" t="n">
        <x:f>COUNTIFS(Predictions_1!$A:$A,B6,Predictions_1!$E:$E,TRUE)</x:f>
        <x:v>0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>
      <x:c r="A7" s="3">
        <x:f t="shared" si="0"/>
        <x:v>1</x:v>
      </x:c>
      <x:c r="B7" s="3" t="s">
        <x:v>26</x:v>
      </x:c>
      <x:c r="C7" s="3" t="s">
        <x:v>27</x:v>
      </x:c>
      <x:c r="D7" s="3" t="n">
        <x:f>SUMIFS(Predictions_1!$F:$F,Predictions_1!$A:$A,B7)</x:f>
        <x:v>0</x:v>
      </x:c>
      <x:c r="E7" s="3" t="n">
        <x:f>COUNTIFS(Predictions_1!$A:$A,B7,Predictions_1!$E:$E,TRUE)</x:f>
        <x:v>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7" hidden="0" customWidth="1"/>
    <x:col min="9" max="9" width="17.360000610351562" hidden="0" customWidth="1"/>
    <x:col min="10" max="10" width="15.34000015258789" hidden="0" customWidth="1"/>
    <x:col min="2" max="2" width="10.229999542236328" hidden="0" customWidth="1"/>
    <x:col min="3" max="3" width="3.359999895095825" hidden="0" customWidth="1"/>
    <x:col min="4" max="4" width="9.149999618530273" hidden="0" customWidth="1"/>
    <x:col min="5" max="5" width="10.09000015258789" hidden="0" customWidth="1"/>
    <x:col min="6" max="6" width="9.6899995803833" hidden="0" customWidth="1"/>
    <x:col min="7" max="7" width="11.84000015258789" hidden="0" customWidth="1"/>
    <x:col min="8" max="8" width="8.210000038146973" hidden="0" customWidth="1"/>
    <x:col min="11" max="11" width="4.710000038146973" hidden="0" customWidth="1"/>
  </x:cols>
  <x:sheetData>
    <x:row r="1" ht="22.350000381469727" customHeight="1">
      <x:c r="A1" s="40" t="s">
        <x:v>55</x:v>
      </x:c>
      <x:c r="B1" s="40" t="s">
        <x:v>56</x:v>
      </x:c>
      <x:c r="C1" s="40" t="s">
        <x:v>57</x:v>
      </x:c>
      <x:c r="D1" s="40" t="s">
        <x:v>58</x:v>
      </x:c>
      <x:c r="E1" s="40" t="s">
        <x:v>59</x:v>
      </x:c>
      <x:c r="F1" s="40" t="s">
        <x:v>60</x:v>
      </x:c>
      <x:c r="G1" s="40" t="s">
        <x:v>61</x:v>
      </x:c>
      <x:c r="H1" s="40" t="s">
        <x:v>62</x:v>
      </x:c>
      <x:c r="I1" s="40" t="s">
        <x:v>63</x:v>
      </x:c>
      <x:c r="J1" s="40" t="s">
        <x:v>64</x:v>
      </x:c>
      <x:c r="K1" s="40" t="s">
        <x:v>4</x:v>
      </x:c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3" t="s">
        <x:v>65</x:v>
      </x:c>
      <x:c r="B2" s="3" t="s">
        <x:v>38</x:v>
      </x:c>
      <x:c r="C2" s="3" t="s">
        <x:v>37</x:v>
      </x:c>
      <x:c r="D2" s="3">
        <x:v>0</x:v>
      </x:c>
      <x:c r="E2" s="4" t="b">
        <x:v>0</x:v>
      </x:c>
      <x:c r="F2" s="4" t="b">
        <x:v>0</x:v>
      </x:c>
      <x:c r="G2" s="4" t="b">
        <x:v>0</x:v>
      </x:c>
      <x:c r="H2" s="4" t="b">
        <x:v>0</x:v>
      </x:c>
      <x:c r="I2" s="3" t="n">
        <x:f t="shared" ref="I2:I33" si="0">IF(A2="","",N(E2)*10+N(F2)*20+N(G2)*30+N(H2)*50)</x:f>
        <x:v>0</x:v>
      </x:c>
      <x:c r="J2" s="3" t="n">
        <x:f t="shared" ref="J2:J33" si="1">IF(A2="","",I2+D2)</x:f>
        <x:v>0</x:v>
      </x:c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" t="s">
        <x:v>66</x:v>
      </x:c>
      <x:c r="B3" s="3" t="s">
        <x:v>39</x:v>
      </x:c>
      <x:c r="C3" s="3" t="s">
        <x:v>44</x:v>
      </x:c>
      <x:c r="D3" s="3">
        <x:v>5</x:v>
      </x:c>
      <x:c r="E3" s="4" t="b">
        <x:v>0</x:v>
      </x:c>
      <x:c r="F3" s="4" t="b">
        <x:v>0</x:v>
      </x:c>
      <x:c r="G3" s="4" t="b">
        <x:v>0</x:v>
      </x:c>
      <x:c r="H3" s="4" t="b">
        <x:v>0</x:v>
      </x:c>
      <x:c r="I3" s="3">
        <x:f t="shared" si="0"/>
        <x:v>0</x:v>
      </x:c>
      <x:c r="J3" s="3">
        <x:f t="shared" si="1"/>
        <x:v>5</x:v>
      </x:c>
      <x:c r="K3" s="3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" t="s">
        <x:v>67</x:v>
      </x:c>
      <x:c r="B4" s="3" t="s">
        <x:v>41</x:v>
      </x:c>
      <x:c r="C4" s="3" t="s">
        <x:v>68</x:v>
      </x:c>
      <x:c r="D4" s="3">
        <x:v>10</x:v>
      </x:c>
      <x:c r="E4" s="4" t="b">
        <x:v>0</x:v>
      </x:c>
      <x:c r="F4" s="4" t="b">
        <x:v>0</x:v>
      </x:c>
      <x:c r="G4" s="4" t="b">
        <x:v>0</x:v>
      </x:c>
      <x:c r="H4" s="4" t="b">
        <x:v>0</x:v>
      </x:c>
      <x:c r="I4" s="3">
        <x:f t="shared" si="0"/>
        <x:v>0</x:v>
      </x:c>
      <x:c r="J4" s="3">
        <x:f t="shared" si="1"/>
        <x:v>10</x:v>
      </x:c>
      <x:c r="K4" s="3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" t="s">
        <x:v>69</x:v>
      </x:c>
      <x:c r="B5" s="3" t="s">
        <x:v>42</x:v>
      </x:c>
      <x:c r="C5" s="3" t="s">
        <x:v>70</x:v>
      </x:c>
      <x:c r="D5" s="3">
        <x:v>15</x:v>
      </x:c>
      <x:c r="E5" s="4" t="b">
        <x:v>0</x:v>
      </x:c>
      <x:c r="F5" s="4" t="b">
        <x:v>0</x:v>
      </x:c>
      <x:c r="G5" s="4" t="b">
        <x:v>0</x:v>
      </x:c>
      <x:c r="H5" s="4" t="b">
        <x:v>0</x:v>
      </x:c>
      <x:c r="I5" s="3">
        <x:f t="shared" si="0"/>
        <x:v>0</x:v>
      </x:c>
      <x:c r="J5" s="3">
        <x:f t="shared" si="1"/>
        <x:v>15</x:v>
      </x:c>
      <x:c r="K5" s="3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2"/>
      <x:c r="C6" s="2"/>
      <x:c r="D6" s="2"/>
      <x:c r="E6" s="2"/>
      <x:c r="F6" s="2"/>
      <x:c r="G6" s="2"/>
      <x:c r="H6" s="2"/>
      <x:c r="I6" s="2" t="str">
        <x:f t="shared" si="0"/>
      </x:c>
      <x:c r="J6" s="2" t="str">
        <x:f t="shared" si="1"/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2"/>
      <x:c r="C7" s="2"/>
      <x:c r="D7" s="2"/>
      <x:c r="E7" s="2"/>
      <x:c r="F7" s="2"/>
      <x:c r="G7" s="2"/>
      <x:c r="H7" s="2"/>
      <x:c r="I7" s="2" t="str">
        <x:f t="shared" si="0"/>
      </x:c>
      <x:c r="J7" s="2" t="str">
        <x:f t="shared" si="1"/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 t="str">
        <x:f t="shared" si="0"/>
      </x:c>
      <x:c r="J8" s="2" t="str">
        <x:f t="shared" si="1"/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 t="str">
        <x:f t="shared" si="0"/>
      </x:c>
      <x:c r="J9" s="2" t="str">
        <x:f t="shared" si="1"/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 t="str">
        <x:f t="shared" si="0"/>
      </x:c>
      <x:c r="J10" s="2" t="str">
        <x:f t="shared" si="1"/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 t="str">
        <x:f t="shared" si="0"/>
      </x:c>
      <x:c r="J11" s="2" t="str">
        <x:f t="shared" si="1"/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 t="str">
        <x:f t="shared" si="0"/>
      </x:c>
      <x:c r="J12" s="2" t="str">
        <x:f t="shared" si="1"/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 t="str">
        <x:f t="shared" si="0"/>
      </x:c>
      <x:c r="J13" s="2" t="str">
        <x:f t="shared" si="1"/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 t="str">
        <x:f t="shared" si="0"/>
      </x:c>
      <x:c r="J14" s="2" t="str">
        <x:f t="shared" si="1"/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 t="str">
        <x:f t="shared" si="0"/>
      </x:c>
      <x:c r="J15" s="2" t="str">
        <x:f t="shared" si="1"/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 t="str">
        <x:f t="shared" si="0"/>
      </x:c>
      <x:c r="J16" s="2" t="str">
        <x:f t="shared" si="1"/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 t="str">
        <x:f t="shared" si="0"/>
      </x:c>
      <x:c r="J17" s="2" t="str">
        <x:f t="shared" si="1"/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 t="str">
        <x:f t="shared" si="0"/>
      </x:c>
      <x:c r="J18" s="2" t="str">
        <x:f t="shared" si="1"/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 t="str">
        <x:f t="shared" si="0"/>
      </x:c>
      <x:c r="J19" s="2" t="str">
        <x:f t="shared" si="1"/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 t="str">
        <x:f t="shared" si="0"/>
      </x:c>
      <x:c r="J20" s="2" t="str">
        <x:f t="shared" si="1"/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 t="str">
        <x:f t="shared" si="0"/>
      </x:c>
      <x:c r="J21" s="2" t="str">
        <x:f t="shared" si="1"/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 t="str">
        <x:f t="shared" si="0"/>
      </x:c>
      <x:c r="J22" s="2" t="str">
        <x:f t="shared" si="1"/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 t="str">
        <x:f t="shared" si="0"/>
      </x:c>
      <x:c r="J23" s="2" t="str">
        <x:f t="shared" si="1"/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 t="str">
        <x:f t="shared" si="0"/>
      </x:c>
      <x:c r="J24" s="2" t="str">
        <x:f t="shared" si="1"/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 t="str">
        <x:f t="shared" si="0"/>
      </x:c>
      <x:c r="J25" s="2" t="str">
        <x:f t="shared" si="1"/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 t="str">
        <x:f t="shared" si="0"/>
      </x:c>
      <x:c r="J26" s="2" t="str">
        <x:f t="shared" si="1"/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 t="str">
        <x:f t="shared" si="0"/>
      </x:c>
      <x:c r="J27" s="2" t="str">
        <x:f t="shared" si="1"/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 t="str">
        <x:f t="shared" si="0"/>
      </x:c>
      <x:c r="J28" s="2" t="str">
        <x:f t="shared" si="1"/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 t="str">
        <x:f t="shared" si="0"/>
      </x:c>
      <x:c r="J29" s="2" t="str">
        <x:f t="shared" si="1"/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 t="str">
        <x:f t="shared" si="0"/>
      </x:c>
      <x:c r="J30" s="2" t="str">
        <x:f t="shared" si="1"/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 t="str">
        <x:f t="shared" si="0"/>
      </x:c>
      <x:c r="J31" s="2" t="str">
        <x:f t="shared" si="1"/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 t="str">
        <x:f t="shared" si="0"/>
      </x:c>
      <x:c r="J32" s="2" t="str">
        <x:f t="shared" si="1"/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 t="str">
        <x:f t="shared" si="0"/>
      </x:c>
      <x:c r="J33" s="2" t="str">
        <x:f t="shared" si="1"/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 t="str">
        <x:f t="shared" ref="I34:I65" si="2">IF(A34="","",N(E34)*10+N(F34)*20+N(G34)*30+N(H34)*50)</x:f>
      </x:c>
      <x:c r="J34" s="2" t="str">
        <x:f t="shared" ref="J34:J65" si="3">IF(A34="","",I34+D34)</x:f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 t="str">
        <x:f t="shared" si="2"/>
      </x:c>
      <x:c r="J35" s="2" t="str">
        <x:f t="shared" si="3"/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 t="str">
        <x:f t="shared" si="2"/>
      </x:c>
      <x:c r="J36" s="2" t="str">
        <x:f t="shared" si="3"/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 t="str">
        <x:f t="shared" si="2"/>
      </x:c>
      <x:c r="J37" s="2" t="str">
        <x:f t="shared" si="3"/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 t="str">
        <x:f t="shared" si="2"/>
      </x:c>
      <x:c r="J38" s="2" t="str">
        <x:f t="shared" si="3"/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 t="str">
        <x:f t="shared" si="2"/>
      </x:c>
      <x:c r="J39" s="2" t="str">
        <x:f t="shared" si="3"/>
      </x:c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 t="str">
        <x:f t="shared" si="2"/>
      </x:c>
      <x:c r="J40" s="2" t="str">
        <x:f t="shared" si="3"/>
      </x:c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 t="str">
        <x:f t="shared" si="2"/>
      </x:c>
      <x:c r="J41" s="2" t="str">
        <x:f t="shared" si="3"/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 t="str">
        <x:f t="shared" si="2"/>
      </x:c>
      <x:c r="J42" s="2" t="str">
        <x:f t="shared" si="3"/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 t="str">
        <x:f t="shared" si="2"/>
      </x:c>
      <x:c r="J43" s="2" t="str">
        <x:f t="shared" si="3"/>
      </x:c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 t="str">
        <x:f t="shared" si="2"/>
      </x:c>
      <x:c r="J44" s="2" t="str">
        <x:f t="shared" si="3"/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 t="str">
        <x:f t="shared" si="2"/>
      </x:c>
      <x:c r="J45" s="2" t="str">
        <x:f t="shared" si="3"/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 t="str">
        <x:f t="shared" si="2"/>
      </x:c>
      <x:c r="J46" s="2" t="str">
        <x:f t="shared" si="3"/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 t="str">
        <x:f t="shared" si="2"/>
      </x:c>
      <x:c r="J47" s="2" t="str">
        <x:f t="shared" si="3"/>
      </x:c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 t="str">
        <x:f t="shared" si="2"/>
      </x:c>
      <x:c r="J48" s="2" t="str">
        <x:f t="shared" si="3"/>
      </x:c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 t="str">
        <x:f t="shared" si="2"/>
      </x:c>
      <x:c r="J49" s="2" t="str">
        <x:f t="shared" si="3"/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 t="str">
        <x:f t="shared" si="2"/>
      </x:c>
      <x:c r="J50" s="2" t="str">
        <x:f t="shared" si="3"/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 t="str">
        <x:f t="shared" si="2"/>
      </x:c>
      <x:c r="J51" s="2" t="str">
        <x:f t="shared" si="3"/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 t="str">
        <x:f t="shared" si="2"/>
      </x:c>
      <x:c r="J52" s="2" t="str">
        <x:f t="shared" si="3"/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 t="str">
        <x:f t="shared" si="2"/>
      </x:c>
      <x:c r="J53" s="2" t="str">
        <x:f t="shared" si="3"/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 t="str">
        <x:f t="shared" si="2"/>
      </x:c>
      <x:c r="J54" s="2" t="str">
        <x:f t="shared" si="3"/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 t="str">
        <x:f t="shared" si="2"/>
      </x:c>
      <x:c r="J55" s="2" t="str">
        <x:f t="shared" si="3"/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 t="str">
        <x:f t="shared" si="2"/>
      </x:c>
      <x:c r="J56" s="2" t="str">
        <x:f t="shared" si="3"/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 t="str">
        <x:f t="shared" si="2"/>
      </x:c>
      <x:c r="J57" s="2" t="str">
        <x:f t="shared" si="3"/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 t="str">
        <x:f t="shared" si="2"/>
      </x:c>
      <x:c r="J58" s="2" t="str">
        <x:f t="shared" si="3"/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 t="str">
        <x:f t="shared" si="2"/>
      </x:c>
      <x:c r="J59" s="2" t="str">
        <x:f t="shared" si="3"/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 t="str">
        <x:f t="shared" si="2"/>
      </x:c>
      <x:c r="J60" s="2" t="str">
        <x:f t="shared" si="3"/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 t="str">
        <x:f t="shared" si="2"/>
      </x:c>
      <x:c r="J61" s="2" t="str">
        <x:f t="shared" si="3"/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 t="str">
        <x:f t="shared" si="2"/>
      </x:c>
      <x:c r="J62" s="2" t="str">
        <x:f t="shared" si="3"/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 t="str">
        <x:f t="shared" si="2"/>
      </x:c>
      <x:c r="J63" s="2" t="str">
        <x:f t="shared" si="3"/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 t="str">
        <x:f t="shared" si="2"/>
      </x:c>
      <x:c r="J64" s="2" t="str">
        <x:f t="shared" si="3"/>
      </x:c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 t="str">
        <x:f t="shared" si="2"/>
      </x:c>
      <x:c r="J65" s="2" t="str">
        <x:f t="shared" si="3"/>
      </x:c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 t="str">
        <x:f t="shared" ref="I66:I97" si="4">IF(A66="","",N(E66)*10+N(F66)*20+N(G66)*30+N(H66)*50)</x:f>
      </x:c>
      <x:c r="J66" s="2" t="str">
        <x:f t="shared" ref="J66:J97" si="5">IF(A66="","",I66+D66)</x:f>
      </x:c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 t="str">
        <x:f t="shared" si="4"/>
      </x:c>
      <x:c r="J67" s="2" t="str">
        <x:f t="shared" si="5"/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 t="str">
        <x:f t="shared" si="4"/>
      </x:c>
      <x:c r="J68" s="2" t="str">
        <x:f t="shared" si="5"/>
      </x:c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 t="str">
        <x:f t="shared" si="4"/>
      </x:c>
      <x:c r="J69" s="2" t="str">
        <x:f t="shared" si="5"/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 t="str">
        <x:f t="shared" si="4"/>
      </x:c>
      <x:c r="J70" s="2" t="str">
        <x:f t="shared" si="5"/>
      </x:c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 t="str">
        <x:f t="shared" si="4"/>
      </x:c>
      <x:c r="J71" s="2" t="str">
        <x:f t="shared" si="5"/>
      </x:c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 t="str">
        <x:f t="shared" si="4"/>
      </x:c>
      <x:c r="J72" s="2" t="str">
        <x:f t="shared" si="5"/>
      </x:c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 t="str">
        <x:f t="shared" si="4"/>
      </x:c>
      <x:c r="J73" s="2" t="str">
        <x:f t="shared" si="5"/>
      </x:c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 t="str">
        <x:f t="shared" si="4"/>
      </x:c>
      <x:c r="J74" s="2" t="str">
        <x:f t="shared" si="5"/>
      </x:c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 t="str">
        <x:f t="shared" si="4"/>
      </x:c>
      <x:c r="J75" s="2" t="str">
        <x:f t="shared" si="5"/>
      </x:c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 t="str">
        <x:f t="shared" si="4"/>
      </x:c>
      <x:c r="J76" s="2" t="str">
        <x:f t="shared" si="5"/>
      </x:c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 t="str">
        <x:f t="shared" si="4"/>
      </x:c>
      <x:c r="J77" s="2" t="str">
        <x:f t="shared" si="5"/>
      </x:c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 t="str">
        <x:f t="shared" si="4"/>
      </x:c>
      <x:c r="J78" s="2" t="str">
        <x:f t="shared" si="5"/>
      </x:c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 t="str">
        <x:f t="shared" si="4"/>
      </x:c>
      <x:c r="J79" s="2" t="str">
        <x:f t="shared" si="5"/>
      </x:c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 t="str">
        <x:f t="shared" si="4"/>
      </x:c>
      <x:c r="J80" s="2" t="str">
        <x:f t="shared" si="5"/>
      </x:c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 t="str">
        <x:f t="shared" si="4"/>
      </x:c>
      <x:c r="J81" s="2" t="str">
        <x:f t="shared" si="5"/>
      </x:c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 t="str">
        <x:f t="shared" si="4"/>
      </x:c>
      <x:c r="J82" s="2" t="str">
        <x:f t="shared" si="5"/>
      </x:c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 t="str">
        <x:f t="shared" si="4"/>
      </x:c>
      <x:c r="J83" s="2" t="str">
        <x:f t="shared" si="5"/>
      </x:c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 t="str">
        <x:f t="shared" si="4"/>
      </x:c>
      <x:c r="J84" s="2" t="str">
        <x:f t="shared" si="5"/>
      </x:c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 t="str">
        <x:f t="shared" si="4"/>
      </x:c>
      <x:c r="J85" s="2" t="str">
        <x:f t="shared" si="5"/>
      </x:c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 t="str">
        <x:f t="shared" si="4"/>
      </x:c>
      <x:c r="J86" s="2" t="str">
        <x:f t="shared" si="5"/>
      </x:c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 t="str">
        <x:f t="shared" si="4"/>
      </x:c>
      <x:c r="J87" s="2" t="str">
        <x:f t="shared" si="5"/>
      </x:c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 t="str">
        <x:f t="shared" si="4"/>
      </x:c>
      <x:c r="J88" s="2" t="str">
        <x:f t="shared" si="5"/>
      </x:c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 t="str">
        <x:f t="shared" si="4"/>
      </x:c>
      <x:c r="J89" s="2" t="str">
        <x:f t="shared" si="5"/>
      </x:c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 t="str">
        <x:f t="shared" si="4"/>
      </x:c>
      <x:c r="J90" s="2" t="str">
        <x:f t="shared" si="5"/>
      </x:c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 t="str">
        <x:f t="shared" si="4"/>
      </x:c>
      <x:c r="J91" s="2" t="str">
        <x:f t="shared" si="5"/>
      </x:c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 t="str">
        <x:f t="shared" si="4"/>
      </x:c>
      <x:c r="J92" s="2" t="str">
        <x:f t="shared" si="5"/>
      </x:c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 t="str">
        <x:f t="shared" si="4"/>
      </x:c>
      <x:c r="J93" s="2" t="str">
        <x:f t="shared" si="5"/>
      </x:c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 t="str">
        <x:f t="shared" si="4"/>
      </x:c>
      <x:c r="J94" s="2" t="str">
        <x:f t="shared" si="5"/>
      </x:c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 t="str">
        <x:f t="shared" si="4"/>
      </x:c>
      <x:c r="J95" s="2" t="str">
        <x:f t="shared" si="5"/>
      </x:c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 t="str">
        <x:f t="shared" si="4"/>
      </x:c>
      <x:c r="J96" s="2" t="str">
        <x:f t="shared" si="5"/>
      </x:c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 t="str">
        <x:f t="shared" si="4"/>
      </x:c>
      <x:c r="J97" s="2" t="str">
        <x:f t="shared" si="5"/>
      </x:c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 t="str">
        <x:f t="shared" ref="I98:I100" si="6">IF(A98="","",N(E98)*10+N(F98)*20+N(G98)*30+N(H98)*50)</x:f>
      </x:c>
      <x:c r="J98" s="2" t="str">
        <x:f t="shared" ref="J98:J100" si="7">IF(A98="","",I98+D98)</x:f>
      </x:c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 t="str">
        <x:f t="shared" si="6"/>
      </x:c>
      <x:c r="J99" s="2" t="str">
        <x:f t="shared" si="7"/>
      </x:c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 t="str">
        <x:f t="shared" si="6"/>
      </x:c>
      <x:c r="J100" s="2" t="str">
        <x:f t="shared" si="7"/>
      </x:c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dataValidations count="2">
    <x:dataValidation type="list" sqref="C2:C100">
      <x:formula1>"A,B,C,D"</x:formula1>
    </x:dataValidation>
    <x:dataValidation type="list" sqref="E2:H100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7.809999942779541" hidden="0" customWidth="1"/>
    <x:col min="11" max="11" width="16.020000457763672" hidden="0" customWidth="1"/>
    <x:col min="12" max="12" width="4.710000038146973" hidden="0" customWidth="1"/>
    <x:col min="2" max="2" width="10.899999618530273" hidden="0" customWidth="1"/>
    <x:col min="3" max="3" width="10.229999542236328" hidden="0" customWidth="1"/>
    <x:col min="4" max="4" width="6.590000152587891" hidden="0" customWidth="1"/>
    <x:col min="5" max="5" width="4.980000019073486" hidden="0" customWidth="1"/>
    <x:col min="6" max="6" width="4.440000057220459" hidden="0" customWidth="1"/>
    <x:col min="7" max="7" width="5.380000114440918" hidden="0" customWidth="1"/>
    <x:col min="8" max="8" width="5.650000095367432" hidden="0" customWidth="1"/>
    <x:col min="9" max="9" width="10.899999618530273" hidden="0" customWidth="1"/>
    <x:col min="10" max="10" width="11.569999694824219" hidden="0" customWidth="1"/>
  </x:cols>
  <x:sheetData>
    <x:row r="1" ht="22.350000381469727" customHeight="1">
      <x:c r="A1" s="40" t="s">
        <x:v>71</x:v>
      </x:c>
      <x:c r="B1" s="40" t="s">
        <x:v>72</x:v>
      </x:c>
      <x:c r="C1" s="40" t="s">
        <x:v>56</x:v>
      </x:c>
      <x:c r="D1" s="40" t="s">
        <x:v>73</x:v>
      </x:c>
      <x:c r="E1" s="40" t="s">
        <x:v>3</x:v>
      </x:c>
      <x:c r="F1" s="40" t="s">
        <x:v>74</x:v>
      </x:c>
      <x:c r="G1" s="40" t="s">
        <x:v>75</x:v>
      </x:c>
      <x:c r="H1" s="40" t="s">
        <x:v>76</x:v>
      </x:c>
      <x:c r="I1" s="40" t="s">
        <x:v>77</x:v>
      </x:c>
      <x:c r="J1" s="40" t="s">
        <x:v>78</x:v>
      </x:c>
      <x:c r="K1" s="40" t="s">
        <x:v>79</x:v>
      </x:c>
      <x:c r="L1" s="40" t="s">
        <x:v>4</x:v>
      </x:c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3" t="s">
        <x:v>80</x:v>
      </x:c>
      <x:c r="B2" s="3" t="s">
        <x:v>81</x:v>
      </x:c>
      <x:c r="C2" s="3" t="s">
        <x:v>38</x:v>
      </x:c>
      <x:c r="D2" s="3" t="s">
        <x:v>82</x:v>
      </x:c>
      <x:c r="E2" s="4" t="b">
        <x:v>1</x:v>
      </x:c>
      <x:c r="F2" s="3">
        <x:v>0</x:v>
      </x:c>
      <x:c r="G2" s="3">
        <x:v>0</x:v>
      </x:c>
      <x:c r="H2" s="3">
        <x:v>0</x:v>
      </x:c>
      <x:c r="I2" s="3">
        <x:v>0</x:v>
      </x:c>
      <x:c r="J2" s="3">
        <x:v>0</x:v>
      </x:c>
      <x:c r="K2" s="3" t="n">
        <x:f t="shared" ref="K2:K33" si="0">IF(A2="","",F2*5+G2*3+H2*5+I2*3+J2*8)</x:f>
        <x:v>0</x:v>
      </x:c>
      <x:c r="L2" s="3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" t="s">
        <x:v>83</x:v>
      </x:c>
      <x:c r="B3" s="3" t="s">
        <x:v>84</x:v>
      </x:c>
      <x:c r="C3" s="3" t="s">
        <x:v>39</x:v>
      </x:c>
      <x:c r="D3" s="3" t="s">
        <x:v>85</x:v>
      </x:c>
      <x:c r="E3" s="4" t="b">
        <x:v>1</x:v>
      </x:c>
      <x:c r="F3" s="3">
        <x:v>0</x:v>
      </x:c>
      <x:c r="G3" s="3">
        <x:v>0</x:v>
      </x:c>
      <x:c r="H3" s="3">
        <x:v>0</x:v>
      </x:c>
      <x:c r="I3" s="3">
        <x:v>0</x:v>
      </x:c>
      <x:c r="J3" s="3">
        <x:v>0</x:v>
      </x:c>
      <x:c r="K3" s="3">
        <x:f t="shared" si="0"/>
        <x:v>0</x:v>
      </x:c>
      <x:c r="L3" s="3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" t="s">
        <x:v>86</x:v>
      </x:c>
      <x:c r="B4" s="3" t="s">
        <x:v>87</x:v>
      </x:c>
      <x:c r="C4" s="3" t="s">
        <x:v>41</x:v>
      </x:c>
      <x:c r="D4" s="3" t="s">
        <x:v>88</x:v>
      </x:c>
      <x:c r="E4" s="4" t="b">
        <x:v>1</x:v>
      </x:c>
      <x:c r="F4" s="3">
        <x:v>0</x:v>
      </x:c>
      <x:c r="G4" s="3">
        <x:v>0</x:v>
      </x:c>
      <x:c r="H4" s="3">
        <x:v>0</x:v>
      </x:c>
      <x:c r="I4" s="3">
        <x:v>0</x:v>
      </x:c>
      <x:c r="J4" s="3">
        <x:v>0</x:v>
      </x:c>
      <x:c r="K4" s="3">
        <x:f t="shared" si="0"/>
        <x:v>0</x:v>
      </x:c>
      <x:c r="L4" s="3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" t="s">
        <x:v>89</x:v>
      </x:c>
      <x:c r="B5" s="3" t="s">
        <x:v>90</x:v>
      </x:c>
      <x:c r="C5" s="3" t="s">
        <x:v>42</x:v>
      </x:c>
      <x:c r="D5" s="3" t="s">
        <x:v>91</x:v>
      </x:c>
      <x:c r="E5" s="4" t="b">
        <x:v>1</x:v>
      </x:c>
      <x:c r="F5" s="3">
        <x:v>0</x:v>
      </x:c>
      <x:c r="G5" s="3">
        <x:v>0</x:v>
      </x:c>
      <x:c r="H5" s="3">
        <x:v>0</x:v>
      </x:c>
      <x:c r="I5" s="3">
        <x:v>0</x:v>
      </x:c>
      <x:c r="J5" s="3">
        <x:v>0</x:v>
      </x:c>
      <x:c r="K5" s="3">
        <x:f t="shared" si="0"/>
        <x:v>0</x:v>
      </x:c>
      <x:c r="L5" s="3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 t="str">
        <x:f t="shared" si="0"/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 t="str">
        <x:f t="shared" si="0"/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 t="str">
        <x:f t="shared" si="0"/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 t="str">
        <x:f t="shared" si="0"/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 t="str">
        <x:f t="shared" si="0"/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 t="str">
        <x:f t="shared" si="0"/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 t="str">
        <x:f t="shared" si="0"/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 t="str">
        <x:f t="shared" si="0"/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 t="str">
        <x:f t="shared" si="0"/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 t="str">
        <x:f t="shared" si="0"/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 t="str">
        <x:f t="shared" si="0"/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 t="str">
        <x:f t="shared" si="0"/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 t="str">
        <x:f t="shared" si="0"/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 t="str">
        <x:f t="shared" si="0"/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 t="str">
        <x:f t="shared" si="0"/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 t="str">
        <x:f t="shared" si="0"/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 t="str">
        <x:f t="shared" si="0"/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 t="str">
        <x:f t="shared" si="0"/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 t="str">
        <x:f t="shared" si="0"/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 t="str">
        <x:f t="shared" si="0"/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 t="str">
        <x:f t="shared" si="0"/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 t="str">
        <x:f t="shared" si="0"/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 t="str">
        <x:f t="shared" si="0"/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 t="str">
        <x:f t="shared" si="0"/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 t="str">
        <x:f t="shared" si="0"/>
      </x:c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 t="str">
        <x:f t="shared" si="0"/>
      </x:c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 t="str">
        <x:f t="shared" si="0"/>
      </x:c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 t="str">
        <x:f t="shared" si="0"/>
      </x:c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 t="str">
        <x:f t="shared" ref="K34:K65" si="1">IF(A34="","",F34*5+G34*3+H34*5+I34*3+J34*8)</x:f>
      </x:c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 t="str">
        <x:f t="shared" si="1"/>
      </x:c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 t="str">
        <x:f t="shared" si="1"/>
      </x:c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 t="str">
        <x:f t="shared" si="1"/>
      </x:c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 t="str">
        <x:f t="shared" si="1"/>
      </x:c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 t="str">
        <x:f t="shared" si="1"/>
      </x:c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 t="str">
        <x:f t="shared" si="1"/>
      </x:c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 t="str">
        <x:f t="shared" si="1"/>
      </x:c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 t="str">
        <x:f t="shared" si="1"/>
      </x:c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 t="str">
        <x:f t="shared" si="1"/>
      </x:c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 t="str">
        <x:f t="shared" si="1"/>
      </x:c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 t="str">
        <x:f t="shared" si="1"/>
      </x:c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 t="str">
        <x:f t="shared" si="1"/>
      </x:c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 t="str">
        <x:f t="shared" si="1"/>
      </x:c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 t="str">
        <x:f t="shared" si="1"/>
      </x:c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 t="str">
        <x:f t="shared" si="1"/>
      </x:c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 t="str">
        <x:f t="shared" si="1"/>
      </x:c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 t="str">
        <x:f t="shared" si="1"/>
      </x:c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 t="str">
        <x:f t="shared" si="1"/>
      </x:c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 t="str">
        <x:f t="shared" si="1"/>
      </x:c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 t="str">
        <x:f t="shared" si="1"/>
      </x:c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 t="str">
        <x:f t="shared" si="1"/>
      </x:c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 t="str">
        <x:f t="shared" si="1"/>
      </x:c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 t="str">
        <x:f t="shared" si="1"/>
      </x:c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 t="str">
        <x:f t="shared" si="1"/>
      </x:c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 t="str">
        <x:f t="shared" si="1"/>
      </x:c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 t="str">
        <x:f t="shared" si="1"/>
      </x:c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 t="str">
        <x:f t="shared" si="1"/>
      </x:c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 t="str">
        <x:f t="shared" si="1"/>
      </x:c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 t="str">
        <x:f t="shared" si="1"/>
      </x:c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 t="str">
        <x:f t="shared" si="1"/>
      </x:c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 t="str">
        <x:f t="shared" si="1"/>
      </x:c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 t="str">
        <x:f t="shared" ref="K66:K97" si="2">IF(A66="","",F66*5+G66*3+H66*5+I66*3+J66*8)</x:f>
      </x:c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 t="str">
        <x:f t="shared" si="2"/>
      </x:c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 t="str">
        <x:f t="shared" si="2"/>
      </x:c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 t="str">
        <x:f t="shared" si="2"/>
      </x:c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 t="str">
        <x:f t="shared" si="2"/>
      </x:c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 t="str">
        <x:f t="shared" si="2"/>
      </x:c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 t="str">
        <x:f t="shared" si="2"/>
      </x:c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 t="str">
        <x:f t="shared" si="2"/>
      </x:c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 t="str">
        <x:f t="shared" si="2"/>
      </x:c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 t="str">
        <x:f t="shared" si="2"/>
      </x:c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 t="str">
        <x:f t="shared" si="2"/>
      </x:c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 t="str">
        <x:f t="shared" si="2"/>
      </x:c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 t="str">
        <x:f t="shared" si="2"/>
      </x:c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 t="str">
        <x:f t="shared" si="2"/>
      </x:c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 t="str">
        <x:f t="shared" si="2"/>
      </x:c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 t="str">
        <x:f t="shared" si="2"/>
      </x:c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 t="str">
        <x:f t="shared" si="2"/>
      </x:c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 t="str">
        <x:f t="shared" si="2"/>
      </x:c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 t="str">
        <x:f t="shared" si="2"/>
      </x:c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 t="str">
        <x:f t="shared" si="2"/>
      </x:c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 t="str">
        <x:f t="shared" si="2"/>
      </x:c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 t="str">
        <x:f t="shared" si="2"/>
      </x:c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 t="str">
        <x:f t="shared" si="2"/>
      </x:c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 t="str">
        <x:f t="shared" si="2"/>
      </x:c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 t="str">
        <x:f t="shared" si="2"/>
      </x:c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 t="str">
        <x:f t="shared" si="2"/>
      </x:c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 t="str">
        <x:f t="shared" si="2"/>
      </x:c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 t="str">
        <x:f t="shared" si="2"/>
      </x:c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 t="str">
        <x:f t="shared" si="2"/>
      </x:c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 t="str">
        <x:f t="shared" si="2"/>
      </x:c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 t="str">
        <x:f t="shared" si="2"/>
      </x:c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 t="str">
        <x:f t="shared" si="2"/>
      </x:c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 t="str">
        <x:f t="shared" ref="K98:K129" si="3">IF(A98="","",F98*5+G98*3+H98*5+I98*3+J98*8)</x:f>
      </x:c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 t="str">
        <x:f t="shared" si="3"/>
      </x:c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 t="str">
        <x:f t="shared" si="3"/>
      </x:c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 t="str">
        <x:f t="shared" si="3"/>
      </x:c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 t="str">
        <x:f t="shared" si="3"/>
      </x:c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 t="str">
        <x:f t="shared" si="3"/>
      </x:c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 t="str">
        <x:f t="shared" si="3"/>
      </x:c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 t="str">
        <x:f t="shared" si="3"/>
      </x:c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 t="str">
        <x:f t="shared" si="3"/>
      </x:c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 t="str">
        <x:f t="shared" si="3"/>
      </x:c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 t="str">
        <x:f t="shared" si="3"/>
      </x:c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 t="str">
        <x:f t="shared" si="3"/>
      </x:c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 t="str">
        <x:f t="shared" si="3"/>
      </x:c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 t="str">
        <x:f t="shared" si="3"/>
      </x:c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 t="str">
        <x:f t="shared" si="3"/>
      </x:c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 t="str">
        <x:f t="shared" si="3"/>
      </x:c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 t="str">
        <x:f t="shared" si="3"/>
      </x:c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 t="str">
        <x:f t="shared" si="3"/>
      </x:c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 t="str">
        <x:f t="shared" si="3"/>
      </x:c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 t="str">
        <x:f t="shared" si="3"/>
      </x:c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 t="str">
        <x:f t="shared" si="3"/>
      </x:c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 t="str">
        <x:f t="shared" si="3"/>
      </x:c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 t="str">
        <x:f t="shared" si="3"/>
      </x:c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 t="str">
        <x:f t="shared" si="3"/>
      </x:c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 t="str">
        <x:f t="shared" si="3"/>
      </x:c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 t="str">
        <x:f t="shared" si="3"/>
      </x:c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 t="str">
        <x:f t="shared" si="3"/>
      </x:c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 t="str">
        <x:f t="shared" si="3"/>
      </x:c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 t="str">
        <x:f t="shared" si="3"/>
      </x:c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 t="str">
        <x:f t="shared" si="3"/>
      </x:c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 t="str">
        <x:f t="shared" si="3"/>
      </x:c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 t="str">
        <x:f t="shared" si="3"/>
      </x:c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 t="str">
        <x:f t="shared" ref="K130:K161" si="4">IF(A130="","",F130*5+G130*3+H130*5+I130*3+J130*8)</x:f>
      </x:c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 t="str">
        <x:f t="shared" si="4"/>
      </x:c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 t="str">
        <x:f t="shared" si="4"/>
      </x:c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 t="str">
        <x:f t="shared" si="4"/>
      </x:c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 t="str">
        <x:f t="shared" si="4"/>
      </x:c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 t="str">
        <x:f t="shared" si="4"/>
      </x:c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 t="str">
        <x:f t="shared" si="4"/>
      </x:c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 t="str">
        <x:f t="shared" si="4"/>
      </x:c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 t="str">
        <x:f t="shared" si="4"/>
      </x:c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 t="str">
        <x:f t="shared" si="4"/>
      </x:c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 t="str">
        <x:f t="shared" si="4"/>
      </x:c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 t="str">
        <x:f t="shared" si="4"/>
      </x:c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 t="str">
        <x:f t="shared" si="4"/>
      </x:c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 t="str">
        <x:f t="shared" si="4"/>
      </x:c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 t="str">
        <x:f t="shared" si="4"/>
      </x:c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 t="str">
        <x:f t="shared" si="4"/>
      </x:c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 t="str">
        <x:f t="shared" si="4"/>
      </x:c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 t="str">
        <x:f t="shared" si="4"/>
      </x:c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 t="str">
        <x:f t="shared" si="4"/>
      </x:c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 t="str">
        <x:f t="shared" si="4"/>
      </x:c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 t="str">
        <x:f t="shared" si="4"/>
      </x:c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 t="str">
        <x:f t="shared" si="4"/>
      </x:c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 t="str">
        <x:f t="shared" si="4"/>
      </x:c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 t="str">
        <x:f t="shared" si="4"/>
      </x:c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 t="str">
        <x:f t="shared" si="4"/>
      </x:c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 t="str">
        <x:f t="shared" si="4"/>
      </x:c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 t="str">
        <x:f t="shared" si="4"/>
      </x:c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 t="str">
        <x:f t="shared" si="4"/>
      </x:c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 t="str">
        <x:f t="shared" si="4"/>
      </x:c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 t="str">
        <x:f t="shared" si="4"/>
      </x:c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 t="str">
        <x:f t="shared" si="4"/>
      </x:c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 t="str">
        <x:f t="shared" si="4"/>
      </x:c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 t="str">
        <x:f t="shared" ref="K162:K193" si="5">IF(A162="","",F162*5+G162*3+H162*5+I162*3+J162*8)</x:f>
      </x:c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 t="str">
        <x:f t="shared" si="5"/>
      </x:c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 t="str">
        <x:f t="shared" si="5"/>
      </x:c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 t="str">
        <x:f t="shared" si="5"/>
      </x:c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 t="str">
        <x:f t="shared" si="5"/>
      </x:c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 t="str">
        <x:f t="shared" si="5"/>
      </x:c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 t="str">
        <x:f t="shared" si="5"/>
      </x:c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 t="str">
        <x:f t="shared" si="5"/>
      </x:c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 t="str">
        <x:f t="shared" si="5"/>
      </x:c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 t="str">
        <x:f t="shared" si="5"/>
      </x:c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 t="str">
        <x:f t="shared" si="5"/>
      </x:c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 t="str">
        <x:f t="shared" si="5"/>
      </x:c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 t="str">
        <x:f t="shared" si="5"/>
      </x:c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 t="str">
        <x:f t="shared" si="5"/>
      </x:c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 t="str">
        <x:f t="shared" si="5"/>
      </x:c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 t="str">
        <x:f t="shared" si="5"/>
      </x:c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 t="str">
        <x:f t="shared" si="5"/>
      </x:c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 t="str">
        <x:f t="shared" si="5"/>
      </x:c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 t="str">
        <x:f t="shared" si="5"/>
      </x:c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 t="str">
        <x:f t="shared" si="5"/>
      </x:c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 t="str">
        <x:f t="shared" si="5"/>
      </x:c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 t="str">
        <x:f t="shared" si="5"/>
      </x:c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 t="str">
        <x:f t="shared" si="5"/>
      </x:c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 t="str">
        <x:f t="shared" si="5"/>
      </x:c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 t="str">
        <x:f t="shared" si="5"/>
      </x:c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 t="str">
        <x:f t="shared" si="5"/>
      </x:c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 t="str">
        <x:f t="shared" si="5"/>
      </x:c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 t="str">
        <x:f t="shared" si="5"/>
      </x:c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 t="str">
        <x:f t="shared" si="5"/>
      </x:c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 t="str">
        <x:f t="shared" si="5"/>
      </x:c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 t="str">
        <x:f t="shared" si="5"/>
      </x:c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 t="str">
        <x:f t="shared" si="5"/>
      </x:c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 t="str">
        <x:f t="shared" ref="K194:K200" si="6">IF(A194="","",F194*5+G194*3+H194*5+I194*3+J194*8)</x:f>
      </x:c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 t="str">
        <x:f t="shared" si="6"/>
      </x:c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 t="str">
        <x:f t="shared" si="6"/>
      </x:c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 t="str">
        <x:f t="shared" si="6"/>
      </x:c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 t="str">
        <x:f t="shared" si="6"/>
      </x:c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 t="str">
        <x:f t="shared" si="6"/>
      </x:c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 t="str">
        <x:f t="shared" si="6"/>
      </x:c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dataValidations count="2">
    <x:dataValidation type="list" sqref="D2:D300">
      <x:formula1>"GK,DEF,MID,FWD"</x:formula1>
    </x:dataValidation>
    <x:dataValidation type="list" sqref="E2:E300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7.670000076293945" hidden="0" customWidth="1"/>
    <x:col min="2" max="2" width="10.770000457763672" hidden="0" customWidth="1"/>
    <x:col min="3" max="3" width="10.229999542236328" hidden="0" customWidth="1"/>
    <x:col min="4" max="4" width="4.980000019073486" hidden="0" customWidth="1"/>
    <x:col min="5" max="5" width="12.109999656677246" hidden="0" customWidth="1"/>
    <x:col min="6" max="6" width="8.210000038146973" hidden="0" customWidth="1"/>
    <x:col min="7" max="7" width="15.880000114440918" hidden="0" customWidth="1"/>
    <x:col min="8" max="8" width="4.710000038146973" hidden="0" customWidth="1"/>
  </x:cols>
  <x:sheetData>
    <x:row r="1" ht="22.350000381469727" customHeight="1">
      <x:c r="A1" s="40" t="s">
        <x:v>92</x:v>
      </x:c>
      <x:c r="B1" s="40" t="s">
        <x:v>93</x:v>
      </x:c>
      <x:c r="C1" s="40" t="s">
        <x:v>56</x:v>
      </x:c>
      <x:c r="D1" s="40" t="s">
        <x:v>3</x:v>
      </x:c>
      <x:c r="E1" s="40" t="s">
        <x:v>94</x:v>
      </x:c>
      <x:c r="F1" s="40" t="s">
        <x:v>62</x:v>
      </x:c>
      <x:c r="G1" s="40" t="s">
        <x:v>95</x:v>
      </x:c>
      <x:c r="H1" s="40" t="s">
        <x:v>4</x:v>
      </x:c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3" t="s">
        <x:v>96</x:v>
      </x:c>
      <x:c r="B2" s="3" t="s">
        <x:v>97</x:v>
      </x:c>
      <x:c r="C2" s="3" t="s">
        <x:v>38</x:v>
      </x:c>
      <x:c r="D2" s="4" t="b">
        <x:v>1</x:v>
      </x:c>
      <x:c r="E2" s="3">
        <x:v>0</x:v>
      </x:c>
      <x:c r="F2" s="4" t="b">
        <x:v>0</x:v>
      </x:c>
      <x:c r="G2" s="3" t="n">
        <x:f t="shared" ref="G2:G33" si="0">IF(A2="","",E2*3+N(F2)*10)</x:f>
        <x:v>0</x:v>
      </x:c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" t="s">
        <x:v>98</x:v>
      </x:c>
      <x:c r="B3" s="3" t="s">
        <x:v>99</x:v>
      </x:c>
      <x:c r="C3" s="3" t="s">
        <x:v>39</x:v>
      </x:c>
      <x:c r="D3" s="4" t="b">
        <x:v>1</x:v>
      </x:c>
      <x:c r="E3" s="3">
        <x:v>0</x:v>
      </x:c>
      <x:c r="F3" s="4" t="b">
        <x:v>0</x:v>
      </x:c>
      <x:c r="G3" s="3">
        <x:f t="shared" si="0"/>
        <x:v>0</x:v>
      </x:c>
      <x:c r="H3" s="3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" t="s">
        <x:v>100</x:v>
      </x:c>
      <x:c r="B4" s="3" t="s">
        <x:v>101</x:v>
      </x:c>
      <x:c r="C4" s="3" t="s">
        <x:v>41</x:v>
      </x:c>
      <x:c r="D4" s="4" t="b">
        <x:v>1</x:v>
      </x:c>
      <x:c r="E4" s="3">
        <x:v>0</x:v>
      </x:c>
      <x:c r="F4" s="4" t="b">
        <x:v>0</x:v>
      </x:c>
      <x:c r="G4" s="3">
        <x:f t="shared" si="0"/>
        <x:v>0</x:v>
      </x:c>
      <x:c r="H4" s="3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" t="s">
        <x:v>102</x:v>
      </x:c>
      <x:c r="B5" s="3" t="s">
        <x:v>103</x:v>
      </x:c>
      <x:c r="C5" s="3" t="s">
        <x:v>42</x:v>
      </x:c>
      <x:c r="D5" s="4" t="b">
        <x:v>1</x:v>
      </x:c>
      <x:c r="E5" s="3">
        <x:v>0</x:v>
      </x:c>
      <x:c r="F5" s="4" t="b">
        <x:v>0</x:v>
      </x:c>
      <x:c r="G5" s="3">
        <x:f t="shared" si="0"/>
        <x:v>0</x:v>
      </x:c>
      <x:c r="H5" s="3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2"/>
      <x:c r="C6" s="2"/>
      <x:c r="D6" s="2"/>
      <x:c r="E6" s="2"/>
      <x:c r="F6" s="2"/>
      <x:c r="G6" s="2" t="str">
        <x:f t="shared" si="0"/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2"/>
      <x:c r="C7" s="2"/>
      <x:c r="D7" s="2"/>
      <x:c r="E7" s="2"/>
      <x:c r="F7" s="2"/>
      <x:c r="G7" s="2" t="str">
        <x:f t="shared" si="0"/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 t="str">
        <x:f t="shared" si="0"/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 t="str">
        <x:f t="shared" si="0"/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 t="str">
        <x:f t="shared" si="0"/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 t="str">
        <x:f t="shared" si="0"/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 t="str">
        <x:f t="shared" si="0"/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 t="str">
        <x:f t="shared" si="0"/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 t="str">
        <x:f t="shared" si="0"/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 t="str">
        <x:f t="shared" si="0"/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 t="str">
        <x:f t="shared" si="0"/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 t="str">
        <x:f t="shared" si="0"/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 t="str">
        <x:f t="shared" si="0"/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 t="str">
        <x:f t="shared" si="0"/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 t="str">
        <x:f t="shared" si="0"/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 t="str">
        <x:f t="shared" si="0"/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 t="str">
        <x:f t="shared" si="0"/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 t="str">
        <x:f t="shared" si="0"/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 t="str">
        <x:f t="shared" si="0"/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 t="str">
        <x:f t="shared" si="0"/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 t="str">
        <x:f t="shared" si="0"/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 t="str">
        <x:f t="shared" si="0"/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 t="str">
        <x:f t="shared" si="0"/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 t="str">
        <x:f t="shared" si="0"/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 t="str">
        <x:f t="shared" si="0"/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 t="str">
        <x:f t="shared" si="0"/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 t="str">
        <x:f t="shared" si="0"/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 t="str">
        <x:f t="shared" si="0"/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 t="str">
        <x:f t="shared" ref="G34:G65" si="1">IF(A34="","",E34*3+N(F34)*10)</x:f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 t="str">
        <x:f t="shared" si="1"/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 t="str">
        <x:f t="shared" si="1"/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 t="str">
        <x:f t="shared" si="1"/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 t="str">
        <x:f t="shared" si="1"/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 t="str">
        <x:f t="shared" si="1"/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 t="str">
        <x:f t="shared" si="1"/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 t="str">
        <x:f t="shared" si="1"/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 t="str">
        <x:f t="shared" si="1"/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 t="str">
        <x:f t="shared" si="1"/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 t="str">
        <x:f t="shared" si="1"/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 t="str">
        <x:f t="shared" si="1"/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 t="str">
        <x:f t="shared" si="1"/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 t="str">
        <x:f t="shared" si="1"/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 t="str">
        <x:f t="shared" si="1"/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 t="str">
        <x:f t="shared" si="1"/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 t="str">
        <x:f t="shared" si="1"/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 t="str">
        <x:f t="shared" si="1"/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 t="str">
        <x:f t="shared" si="1"/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 t="str">
        <x:f t="shared" si="1"/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 t="str">
        <x:f t="shared" si="1"/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 t="str">
        <x:f t="shared" si="1"/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 t="str">
        <x:f t="shared" si="1"/>
      </x:c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 t="str">
        <x:f t="shared" si="1"/>
      </x:c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 t="str">
        <x:f t="shared" si="1"/>
      </x:c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 t="str">
        <x:f t="shared" si="1"/>
      </x:c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 t="str">
        <x:f t="shared" si="1"/>
      </x:c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 t="str">
        <x:f t="shared" si="1"/>
      </x:c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 t="str">
        <x:f t="shared" si="1"/>
      </x:c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 t="str">
        <x:f t="shared" si="1"/>
      </x:c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 t="str">
        <x:f t="shared" si="1"/>
      </x:c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 t="str">
        <x:f t="shared" si="1"/>
      </x:c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 t="str">
        <x:f t="shared" ref="G66:G97" si="2">IF(A66="","",E66*3+N(F66)*10)</x:f>
      </x:c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 t="str">
        <x:f t="shared" si="2"/>
      </x:c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 t="str">
        <x:f t="shared" si="2"/>
      </x:c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 t="str">
        <x:f t="shared" si="2"/>
      </x:c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 t="str">
        <x:f t="shared" si="2"/>
      </x:c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 t="str">
        <x:f t="shared" si="2"/>
      </x:c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 t="str">
        <x:f t="shared" si="2"/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 t="str">
        <x:f t="shared" si="2"/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 t="str">
        <x:f t="shared" si="2"/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 t="str">
        <x:f t="shared" si="2"/>
      </x:c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 t="str">
        <x:f t="shared" si="2"/>
      </x:c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 t="str">
        <x:f t="shared" si="2"/>
      </x:c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 t="str">
        <x:f t="shared" si="2"/>
      </x:c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 t="str">
        <x:f t="shared" si="2"/>
      </x:c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 t="str">
        <x:f t="shared" si="2"/>
      </x:c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 t="str">
        <x:f t="shared" si="2"/>
      </x:c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 t="str">
        <x:f t="shared" si="2"/>
      </x:c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 t="str">
        <x:f t="shared" si="2"/>
      </x:c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 t="str">
        <x:f t="shared" si="2"/>
      </x:c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 t="str">
        <x:f t="shared" si="2"/>
      </x:c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 t="str">
        <x:f t="shared" si="2"/>
      </x:c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 t="str">
        <x:f t="shared" si="2"/>
      </x:c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 t="str">
        <x:f t="shared" si="2"/>
      </x:c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 t="str">
        <x:f t="shared" si="2"/>
      </x:c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 t="str">
        <x:f t="shared" si="2"/>
      </x:c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 t="str">
        <x:f t="shared" si="2"/>
      </x:c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 t="str">
        <x:f t="shared" si="2"/>
      </x:c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 t="str">
        <x:f t="shared" si="2"/>
      </x:c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 t="str">
        <x:f t="shared" si="2"/>
      </x:c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 t="str">
        <x:f t="shared" si="2"/>
      </x:c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 t="str">
        <x:f t="shared" si="2"/>
      </x:c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 t="str">
        <x:f t="shared" si="2"/>
      </x:c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 t="str">
        <x:f t="shared" ref="G98:G100" si="3">IF(A98="","",E98*3+N(F98)*10)</x:f>
      </x:c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 t="str">
        <x:f t="shared" si="3"/>
      </x:c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 t="str">
        <x:f t="shared" si="3"/>
      </x:c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dataValidations count="2">
    <x:dataValidation type="list" sqref="D2:D100">
      <x:formula1>"TRUE,FALSE"</x:formula1>
    </x:dataValidation>
    <x:dataValidation type="list" sqref="F2:F100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3.800000190734863"/>
  <x:cols>
    <x:col min="1" max="1" width="9.960000038146973" hidden="0" customWidth="1"/>
    <x:col min="2" max="2" width="13.1899995803833" hidden="0" customWidth="1"/>
    <x:col min="3" max="3" width="5.25" hidden="0" customWidth="1"/>
    <x:col min="4" max="4" width="3.2300000190734863" hidden="0" customWidth="1"/>
    <x:col min="5" max="5" width="9.289999961853027" hidden="0" customWidth="1"/>
    <x:col min="6" max="6" width="7.130000114440918" hidden="0" customWidth="1"/>
    <x:col min="7" max="7" width="10.229999542236328" hidden="0" customWidth="1"/>
    <x:col min="8" max="8" width="10.229999542236328" hidden="0" customWidth="1"/>
    <x:col min="9" max="9" width="10.359999656677246" hidden="0" customWidth="1"/>
    <x:col min="10" max="10" width="9.020000457763672" hidden="0" customWidth="1"/>
    <x:col min="11" max="11" width="4.710000038146973" hidden="0" customWidth="1"/>
  </x:cols>
  <x:sheetData>
    <x:row r="1" ht="22.350000381469727" customHeight="1">
      <x:c r="A1" s="40" t="s">
        <x:v>0</x:v>
      </x:c>
      <x:c r="B1" s="40" t="s">
        <x:v>1</x:v>
      </x:c>
      <x:c r="C1" s="40" t="s">
        <x:v>104</x:v>
      </x:c>
      <x:c r="D1" s="40" t="s">
        <x:v>105</x:v>
      </x:c>
      <x:c r="E1" s="40" t="s">
        <x:v>106</x:v>
      </x:c>
      <x:c r="F1" s="40" t="s">
        <x:v>107</x:v>
      </x:c>
      <x:c r="G1" s="40" t="s">
        <x:v>108</x:v>
      </x:c>
      <x:c r="H1" s="40" t="s">
        <x:v>56</x:v>
      </x:c>
      <x:c r="I1" s="40" t="s">
        <x:v>109</x:v>
      </x:c>
      <x:c r="J1" s="40" t="s">
        <x:v>110</x:v>
      </x:c>
      <x:c r="K1" s="40" t="s">
        <x:v>4</x:v>
      </x:c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3"/>
      <x:c r="B2" s="3" t="str">
        <x:f>IFERROR(INDEX(Managers!$B:$B,MATCH(A2,Managers!$A:$A,0)),"")</x:f>
      </x:c>
      <x:c r="C2" s="3">
        <x:v>1</x:v>
      </x:c>
      <x:c r="D2" s="3">
        <x:v>1</x:v>
      </x:c>
      <x:c r="E2" s="3"/>
      <x:c r="F2" s="3"/>
      <x:c r="G2" s="3"/>
      <x:c r="H2" s="3"/>
      <x:c r="I2" s="3" t="str">
        <x:f>IF($F2="","",IF($E2="Team",IFERROR(INDEX(DE_Teams!$J:$J,MATCH($F2,DE_Teams!$A:$A,0)),0),IF($E2="Player",IFERROR(INDEX(DE_Players!$K:$K,MATCH($F2,DE_Players!$A:$A,0)),0),IF($E2="Coach",IFERROR(INDEX(DE_Coaches!$G:$G,MATCH($F2,DE_Coaches!$A:$A,0)),0),0))))</x:f>
      </x:c>
      <x:c r="J2" s="3"/>
      <x:c r="K2" s="3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"/>
      <x:c r="B3" s="3" t="str">
        <x:f>IFERROR(INDEX(Managers!$B:$B,MATCH(A3,Managers!$A:$A,0)),"")</x:f>
      </x:c>
      <x:c r="C3" s="3">
        <x:v>1</x:v>
      </x:c>
      <x:c r="D3" s="3">
        <x:v>2</x:v>
      </x:c>
      <x:c r="E3" s="3"/>
      <x:c r="F3" s="3"/>
      <x:c r="G3" s="3"/>
      <x:c r="H3" s="3"/>
      <x:c r="I3" s="3" t="str">
        <x:f>IF($F3="","",IF($E3="Team",IFERROR(INDEX(DE_Teams!$J:$J,MATCH($F3,DE_Teams!$A:$A,0)),0),IF($E3="Player",IFERROR(INDEX(DE_Players!$K:$K,MATCH($F3,DE_Players!$A:$A,0)),0),IF($E3="Coach",IFERROR(INDEX(DE_Coaches!$G:$G,MATCH($F3,DE_Coaches!$A:$A,0)),0),0))))</x:f>
      </x:c>
      <x:c r="J3" s="3"/>
      <x:c r="K3" s="3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"/>
      <x:c r="B4" s="3" t="str">
        <x:f>IFERROR(INDEX(Managers!$B:$B,MATCH(A4,Managers!$A:$A,0)),"")</x:f>
      </x:c>
      <x:c r="C4" s="3">
        <x:v>1</x:v>
      </x:c>
      <x:c r="D4" s="3">
        <x:v>3</x:v>
      </x:c>
      <x:c r="E4" s="3"/>
      <x:c r="F4" s="3"/>
      <x:c r="G4" s="3"/>
      <x:c r="H4" s="3"/>
      <x:c r="I4" s="3" t="str">
        <x:f>IF($F4="","",IF($E4="Team",IFERROR(INDEX(DE_Teams!$J:$J,MATCH($F4,DE_Teams!$A:$A,0)),0),IF($E4="Player",IFERROR(INDEX(DE_Players!$K:$K,MATCH($F4,DE_Players!$A:$A,0)),0),IF($E4="Coach",IFERROR(INDEX(DE_Coaches!$G:$G,MATCH($F4,DE_Coaches!$A:$A,0)),0),0))))</x:f>
      </x:c>
      <x:c r="J4" s="3"/>
      <x:c r="K4" s="3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"/>
      <x:c r="B5" s="3" t="str">
        <x:f>IFERROR(INDEX(Managers!$B:$B,MATCH(A5,Managers!$A:$A,0)),"")</x:f>
      </x:c>
      <x:c r="C5" s="3">
        <x:v>1</x:v>
      </x:c>
      <x:c r="D5" s="3">
        <x:v>4</x:v>
      </x:c>
      <x:c r="E5" s="3"/>
      <x:c r="F5" s="3"/>
      <x:c r="G5" s="3"/>
      <x:c r="H5" s="3"/>
      <x:c r="I5" s="3" t="str">
        <x:f>IF($F5="","",IF($E5="Team",IFERROR(INDEX(DE_Teams!$J:$J,MATCH($F5,DE_Teams!$A:$A,0)),0),IF($E5="Player",IFERROR(INDEX(DE_Players!$K:$K,MATCH($F5,DE_Players!$A:$A,0)),0),IF($E5="Coach",IFERROR(INDEX(DE_Coaches!$G:$G,MATCH($F5,DE_Coaches!$A:$A,0)),0),0))))</x:f>
      </x:c>
      <x:c r="J5" s="3"/>
      <x:c r="K5" s="3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"/>
      <x:c r="B6" s="3" t="str">
        <x:f>IFERROR(INDEX(Managers!$B:$B,MATCH(A6,Managers!$A:$A,0)),"")</x:f>
      </x:c>
      <x:c r="C6" s="3">
        <x:v>1</x:v>
      </x:c>
      <x:c r="D6" s="3">
        <x:v>5</x:v>
      </x:c>
      <x:c r="E6" s="3"/>
      <x:c r="F6" s="3"/>
      <x:c r="G6" s="3"/>
      <x:c r="H6" s="3"/>
      <x:c r="I6" s="3" t="str">
        <x:f>IF($F6="","",IF($E6="Team",IFERROR(INDEX(DE_Teams!$J:$J,MATCH($F6,DE_Teams!$A:$A,0)),0),IF($E6="Player",IFERROR(INDEX(DE_Players!$K:$K,MATCH($F6,DE_Players!$A:$A,0)),0),IF($E6="Coach",IFERROR(INDEX(DE_Coaches!$G:$G,MATCH($F6,DE_Coaches!$A:$A,0)),0),0))))</x:f>
      </x:c>
      <x:c r="J6" s="3"/>
      <x:c r="K6" s="3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"/>
      <x:c r="B7" s="3" t="str">
        <x:f>IFERROR(INDEX(Managers!$B:$B,MATCH(A7,Managers!$A:$A,0)),"")</x:f>
      </x:c>
      <x:c r="C7" s="3">
        <x:v>1</x:v>
      </x:c>
      <x:c r="D7" s="3">
        <x:v>6</x:v>
      </x:c>
      <x:c r="E7" s="3"/>
      <x:c r="F7" s="3"/>
      <x:c r="G7" s="3"/>
      <x:c r="H7" s="3"/>
      <x:c r="I7" s="3" t="str">
        <x:f>IF($F7="","",IF($E7="Team",IFERROR(INDEX(DE_Teams!$J:$J,MATCH($F7,DE_Teams!$A:$A,0)),0),IF($E7="Player",IFERROR(INDEX(DE_Players!$K:$K,MATCH($F7,DE_Players!$A:$A,0)),0),IF($E7="Coach",IFERROR(INDEX(DE_Coaches!$G:$G,MATCH($F7,DE_Coaches!$A:$A,0)),0),0))))</x:f>
      </x:c>
      <x:c r="J7" s="3"/>
      <x:c r="K7" s="3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3"/>
      <x:c r="B8" s="3" t="str">
        <x:f>IFERROR(INDEX(Managers!$B:$B,MATCH(A8,Managers!$A:$A,0)),"")</x:f>
      </x:c>
      <x:c r="C8" s="3">
        <x:v>2</x:v>
      </x:c>
      <x:c r="D8" s="3">
        <x:v>1</x:v>
      </x:c>
      <x:c r="E8" s="3"/>
      <x:c r="F8" s="3"/>
      <x:c r="G8" s="3"/>
      <x:c r="H8" s="3"/>
      <x:c r="I8" s="3" t="str">
        <x:f>IF($F8="","",IF($E8="Team",IFERROR(INDEX(DE_Teams!$J:$J,MATCH($F8,DE_Teams!$A:$A,0)),0),IF($E8="Player",IFERROR(INDEX(DE_Players!$K:$K,MATCH($F8,DE_Players!$A:$A,0)),0),IF($E8="Coach",IFERROR(INDEX(DE_Coaches!$G:$G,MATCH($F8,DE_Coaches!$A:$A,0)),0),0))))</x:f>
      </x:c>
      <x:c r="J8" s="3"/>
      <x:c r="K8" s="3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3"/>
      <x:c r="B9" s="3" t="str">
        <x:f>IFERROR(INDEX(Managers!$B:$B,MATCH(A9,Managers!$A:$A,0)),"")</x:f>
      </x:c>
      <x:c r="C9" s="3">
        <x:v>2</x:v>
      </x:c>
      <x:c r="D9" s="3">
        <x:v>2</x:v>
      </x:c>
      <x:c r="E9" s="3"/>
      <x:c r="F9" s="3"/>
      <x:c r="G9" s="3"/>
      <x:c r="H9" s="3"/>
      <x:c r="I9" s="3" t="str">
        <x:f>IF($F9="","",IF($E9="Team",IFERROR(INDEX(DE_Teams!$J:$J,MATCH($F9,DE_Teams!$A:$A,0)),0),IF($E9="Player",IFERROR(INDEX(DE_Players!$K:$K,MATCH($F9,DE_Players!$A:$A,0)),0),IF($E9="Coach",IFERROR(INDEX(DE_Coaches!$G:$G,MATCH($F9,DE_Coaches!$A:$A,0)),0),0))))</x:f>
      </x:c>
      <x:c r="J9" s="3"/>
      <x:c r="K9" s="3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"/>
      <x:c r="B10" s="3" t="str">
        <x:f>IFERROR(INDEX(Managers!$B:$B,MATCH(A10,Managers!$A:$A,0)),"")</x:f>
      </x:c>
      <x:c r="C10" s="3">
        <x:v>2</x:v>
      </x:c>
      <x:c r="D10" s="3">
        <x:v>3</x:v>
      </x:c>
      <x:c r="E10" s="3"/>
      <x:c r="F10" s="3"/>
      <x:c r="G10" s="3"/>
      <x:c r="H10" s="3"/>
      <x:c r="I10" s="3" t="str">
        <x:f>IF($F10="","",IF($E10="Team",IFERROR(INDEX(DE_Teams!$J:$J,MATCH($F10,DE_Teams!$A:$A,0)),0),IF($E10="Player",IFERROR(INDEX(DE_Players!$K:$K,MATCH($F10,DE_Players!$A:$A,0)),0),IF($E10="Coach",IFERROR(INDEX(DE_Coaches!$G:$G,MATCH($F10,DE_Coaches!$A:$A,0)),0),0))))</x:f>
      </x:c>
      <x:c r="J10" s="3"/>
      <x:c r="K10" s="3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"/>
      <x:c r="B11" s="3" t="str">
        <x:f>IFERROR(INDEX(Managers!$B:$B,MATCH(A11,Managers!$A:$A,0)),"")</x:f>
      </x:c>
      <x:c r="C11" s="3">
        <x:v>2</x:v>
      </x:c>
      <x:c r="D11" s="3">
        <x:v>4</x:v>
      </x:c>
      <x:c r="E11" s="3"/>
      <x:c r="F11" s="3"/>
      <x:c r="G11" s="3"/>
      <x:c r="H11" s="3"/>
      <x:c r="I11" s="3" t="str">
        <x:f>IF($F11="","",IF($E11="Team",IFERROR(INDEX(DE_Teams!$J:$J,MATCH($F11,DE_Teams!$A:$A,0)),0),IF($E11="Player",IFERROR(INDEX(DE_Players!$K:$K,MATCH($F11,DE_Players!$A:$A,0)),0),IF($E11="Coach",IFERROR(INDEX(DE_Coaches!$G:$G,MATCH($F11,DE_Coaches!$A:$A,0)),0),0))))</x:f>
      </x:c>
      <x:c r="J11" s="3"/>
      <x:c r="K11" s="3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"/>
      <x:c r="B12" s="3" t="str">
        <x:f>IFERROR(INDEX(Managers!$B:$B,MATCH(A12,Managers!$A:$A,0)),"")</x:f>
      </x:c>
      <x:c r="C12" s="3">
        <x:v>2</x:v>
      </x:c>
      <x:c r="D12" s="3">
        <x:v>5</x:v>
      </x:c>
      <x:c r="E12" s="3"/>
      <x:c r="F12" s="3"/>
      <x:c r="G12" s="3"/>
      <x:c r="H12" s="3"/>
      <x:c r="I12" s="3" t="str">
        <x:f>IF($F12="","",IF($E12="Team",IFERROR(INDEX(DE_Teams!$J:$J,MATCH($F12,DE_Teams!$A:$A,0)),0),IF($E12="Player",IFERROR(INDEX(DE_Players!$K:$K,MATCH($F12,DE_Players!$A:$A,0)),0),IF($E12="Coach",IFERROR(INDEX(DE_Coaches!$G:$G,MATCH($F12,DE_Coaches!$A:$A,0)),0),0))))</x:f>
      </x:c>
      <x:c r="J12" s="3"/>
      <x:c r="K12" s="3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"/>
      <x:c r="B13" s="3" t="str">
        <x:f>IFERROR(INDEX(Managers!$B:$B,MATCH(A13,Managers!$A:$A,0)),"")</x:f>
      </x:c>
      <x:c r="C13" s="3">
        <x:v>2</x:v>
      </x:c>
      <x:c r="D13" s="3">
        <x:v>6</x:v>
      </x:c>
      <x:c r="E13" s="3"/>
      <x:c r="F13" s="3"/>
      <x:c r="G13" s="3"/>
      <x:c r="H13" s="3"/>
      <x:c r="I13" s="3" t="str">
        <x:f>IF($F13="","",IF($E13="Team",IFERROR(INDEX(DE_Teams!$J:$J,MATCH($F13,DE_Teams!$A:$A,0)),0),IF($E13="Player",IFERROR(INDEX(DE_Players!$K:$K,MATCH($F13,DE_Players!$A:$A,0)),0),IF($E13="Coach",IFERROR(INDEX(DE_Coaches!$G:$G,MATCH($F13,DE_Coaches!$A:$A,0)),0),0))))</x:f>
      </x:c>
      <x:c r="J13" s="3"/>
      <x:c r="K13" s="3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"/>
      <x:c r="B14" s="3" t="str">
        <x:f>IFERROR(INDEX(Managers!$B:$B,MATCH(A14,Managers!$A:$A,0)),"")</x:f>
      </x:c>
      <x:c r="C14" s="3">
        <x:v>3</x:v>
      </x:c>
      <x:c r="D14" s="3">
        <x:v>1</x:v>
      </x:c>
      <x:c r="E14" s="3"/>
      <x:c r="F14" s="3"/>
      <x:c r="G14" s="3"/>
      <x:c r="H14" s="3"/>
      <x:c r="I14" s="3" t="str">
        <x:f>IF($F14="","",IF($E14="Team",IFERROR(INDEX(DE_Teams!$J:$J,MATCH($F14,DE_Teams!$A:$A,0)),0),IF($E14="Player",IFERROR(INDEX(DE_Players!$K:$K,MATCH($F14,DE_Players!$A:$A,0)),0),IF($E14="Coach",IFERROR(INDEX(DE_Coaches!$G:$G,MATCH($F14,DE_Coaches!$A:$A,0)),0),0))))</x:f>
      </x:c>
      <x:c r="J14" s="3"/>
      <x:c r="K14" s="3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"/>
      <x:c r="B15" s="3" t="str">
        <x:f>IFERROR(INDEX(Managers!$B:$B,MATCH(A15,Managers!$A:$A,0)),"")</x:f>
      </x:c>
      <x:c r="C15" s="3">
        <x:v>3</x:v>
      </x:c>
      <x:c r="D15" s="3">
        <x:v>2</x:v>
      </x:c>
      <x:c r="E15" s="3"/>
      <x:c r="F15" s="3"/>
      <x:c r="G15" s="3"/>
      <x:c r="H15" s="3"/>
      <x:c r="I15" s="3" t="str">
        <x:f>IF($F15="","",IF($E15="Team",IFERROR(INDEX(DE_Teams!$J:$J,MATCH($F15,DE_Teams!$A:$A,0)),0),IF($E15="Player",IFERROR(INDEX(DE_Players!$K:$K,MATCH($F15,DE_Players!$A:$A,0)),0),IF($E15="Coach",IFERROR(INDEX(DE_Coaches!$G:$G,MATCH($F15,DE_Coaches!$A:$A,0)),0),0))))</x:f>
      </x:c>
      <x:c r="J15" s="3"/>
      <x:c r="K15" s="3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"/>
      <x:c r="B16" s="3" t="str">
        <x:f>IFERROR(INDEX(Managers!$B:$B,MATCH(A16,Managers!$A:$A,0)),"")</x:f>
      </x:c>
      <x:c r="C16" s="3">
        <x:v>3</x:v>
      </x:c>
      <x:c r="D16" s="3">
        <x:v>3</x:v>
      </x:c>
      <x:c r="E16" s="3"/>
      <x:c r="F16" s="3"/>
      <x:c r="G16" s="3"/>
      <x:c r="H16" s="3"/>
      <x:c r="I16" s="3" t="str">
        <x:f>IF($F16="","",IF($E16="Team",IFERROR(INDEX(DE_Teams!$J:$J,MATCH($F16,DE_Teams!$A:$A,0)),0),IF($E16="Player",IFERROR(INDEX(DE_Players!$K:$K,MATCH($F16,DE_Players!$A:$A,0)),0),IF($E16="Coach",IFERROR(INDEX(DE_Coaches!$G:$G,MATCH($F16,DE_Coaches!$A:$A,0)),0),0))))</x:f>
      </x:c>
      <x:c r="J16" s="3"/>
      <x:c r="K16" s="3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"/>
      <x:c r="B17" s="3" t="str">
        <x:f>IFERROR(INDEX(Managers!$B:$B,MATCH(A17,Managers!$A:$A,0)),"")</x:f>
      </x:c>
      <x:c r="C17" s="3">
        <x:v>3</x:v>
      </x:c>
      <x:c r="D17" s="3">
        <x:v>4</x:v>
      </x:c>
      <x:c r="E17" s="3"/>
      <x:c r="F17" s="3"/>
      <x:c r="G17" s="3"/>
      <x:c r="H17" s="3"/>
      <x:c r="I17" s="3" t="str">
        <x:f>IF($F17="","",IF($E17="Team",IFERROR(INDEX(DE_Teams!$J:$J,MATCH($F17,DE_Teams!$A:$A,0)),0),IF($E17="Player",IFERROR(INDEX(DE_Players!$K:$K,MATCH($F17,DE_Players!$A:$A,0)),0),IF($E17="Coach",IFERROR(INDEX(DE_Coaches!$G:$G,MATCH($F17,DE_Coaches!$A:$A,0)),0),0))))</x:f>
      </x:c>
      <x:c r="J17" s="3"/>
      <x:c r="K17" s="3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"/>
      <x:c r="B18" s="3" t="str">
        <x:f>IFERROR(INDEX(Managers!$B:$B,MATCH(A18,Managers!$A:$A,0)),"")</x:f>
      </x:c>
      <x:c r="C18" s="3">
        <x:v>3</x:v>
      </x:c>
      <x:c r="D18" s="3">
        <x:v>5</x:v>
      </x:c>
      <x:c r="E18" s="3"/>
      <x:c r="F18" s="3"/>
      <x:c r="G18" s="3"/>
      <x:c r="H18" s="3"/>
      <x:c r="I18" s="3" t="str">
        <x:f>IF($F18="","",IF($E18="Team",IFERROR(INDEX(DE_Teams!$J:$J,MATCH($F18,DE_Teams!$A:$A,0)),0),IF($E18="Player",IFERROR(INDEX(DE_Players!$K:$K,MATCH($F18,DE_Players!$A:$A,0)),0),IF($E18="Coach",IFERROR(INDEX(DE_Coaches!$G:$G,MATCH($F18,DE_Coaches!$A:$A,0)),0),0))))</x:f>
      </x:c>
      <x:c r="J18" s="3"/>
      <x:c r="K18" s="3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"/>
      <x:c r="B19" s="3" t="str">
        <x:f>IFERROR(INDEX(Managers!$B:$B,MATCH(A19,Managers!$A:$A,0)),"")</x:f>
      </x:c>
      <x:c r="C19" s="3">
        <x:v>3</x:v>
      </x:c>
      <x:c r="D19" s="3">
        <x:v>6</x:v>
      </x:c>
      <x:c r="E19" s="3"/>
      <x:c r="F19" s="3"/>
      <x:c r="G19" s="3"/>
      <x:c r="H19" s="3"/>
      <x:c r="I19" s="3" t="str">
        <x:f>IF($F19="","",IF($E19="Team",IFERROR(INDEX(DE_Teams!$J:$J,MATCH($F19,DE_Teams!$A:$A,0)),0),IF($E19="Player",IFERROR(INDEX(DE_Players!$K:$K,MATCH($F19,DE_Players!$A:$A,0)),0),IF($E19="Coach",IFERROR(INDEX(DE_Coaches!$G:$G,MATCH($F19,DE_Coaches!$A:$A,0)),0),0))))</x:f>
      </x:c>
      <x:c r="J19" s="3"/>
      <x:c r="K19" s="3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"/>
      <x:c r="B20" s="3" t="str">
        <x:f>IFERROR(INDEX(Managers!$B:$B,MATCH(A20,Managers!$A:$A,0)),"")</x:f>
      </x:c>
      <x:c r="C20" s="3">
        <x:v>4</x:v>
      </x:c>
      <x:c r="D20" s="3">
        <x:v>1</x:v>
      </x:c>
      <x:c r="E20" s="3"/>
      <x:c r="F20" s="3"/>
      <x:c r="G20" s="3"/>
      <x:c r="H20" s="3"/>
      <x:c r="I20" s="3" t="str">
        <x:f>IF($F20="","",IF($E20="Team",IFERROR(INDEX(DE_Teams!$J:$J,MATCH($F20,DE_Teams!$A:$A,0)),0),IF($E20="Player",IFERROR(INDEX(DE_Players!$K:$K,MATCH($F20,DE_Players!$A:$A,0)),0),IF($E20="Coach",IFERROR(INDEX(DE_Coaches!$G:$G,MATCH($F20,DE_Coaches!$A:$A,0)),0),0))))</x:f>
      </x:c>
      <x:c r="J20" s="3"/>
      <x:c r="K20" s="3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"/>
      <x:c r="B21" s="3" t="str">
        <x:f>IFERROR(INDEX(Managers!$B:$B,MATCH(A21,Managers!$A:$A,0)),"")</x:f>
      </x:c>
      <x:c r="C21" s="3">
        <x:v>4</x:v>
      </x:c>
      <x:c r="D21" s="3">
        <x:v>2</x:v>
      </x:c>
      <x:c r="E21" s="3"/>
      <x:c r="F21" s="3"/>
      <x:c r="G21" s="3"/>
      <x:c r="H21" s="3"/>
      <x:c r="I21" s="3" t="str">
        <x:f>IF($F21="","",IF($E21="Team",IFERROR(INDEX(DE_Teams!$J:$J,MATCH($F21,DE_Teams!$A:$A,0)),0),IF($E21="Player",IFERROR(INDEX(DE_Players!$K:$K,MATCH($F21,DE_Players!$A:$A,0)),0),IF($E21="Coach",IFERROR(INDEX(DE_Coaches!$G:$G,MATCH($F21,DE_Coaches!$A:$A,0)),0),0))))</x:f>
      </x:c>
      <x:c r="J21" s="3"/>
      <x:c r="K21" s="3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"/>
      <x:c r="B22" s="3" t="str">
        <x:f>IFERROR(INDEX(Managers!$B:$B,MATCH(A22,Managers!$A:$A,0)),"")</x:f>
      </x:c>
      <x:c r="C22" s="3">
        <x:v>4</x:v>
      </x:c>
      <x:c r="D22" s="3">
        <x:v>3</x:v>
      </x:c>
      <x:c r="E22" s="3"/>
      <x:c r="F22" s="3"/>
      <x:c r="G22" s="3"/>
      <x:c r="H22" s="3"/>
      <x:c r="I22" s="3" t="str">
        <x:f>IF($F22="","",IF($E22="Team",IFERROR(INDEX(DE_Teams!$J:$J,MATCH($F22,DE_Teams!$A:$A,0)),0),IF($E22="Player",IFERROR(INDEX(DE_Players!$K:$K,MATCH($F22,DE_Players!$A:$A,0)),0),IF($E22="Coach",IFERROR(INDEX(DE_Coaches!$G:$G,MATCH($F22,DE_Coaches!$A:$A,0)),0),0))))</x:f>
      </x:c>
      <x:c r="J22" s="3"/>
      <x:c r="K22" s="3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"/>
      <x:c r="B23" s="3" t="str">
        <x:f>IFERROR(INDEX(Managers!$B:$B,MATCH(A23,Managers!$A:$A,0)),"")</x:f>
      </x:c>
      <x:c r="C23" s="3">
        <x:v>4</x:v>
      </x:c>
      <x:c r="D23" s="3">
        <x:v>4</x:v>
      </x:c>
      <x:c r="E23" s="3"/>
      <x:c r="F23" s="3"/>
      <x:c r="G23" s="3"/>
      <x:c r="H23" s="3"/>
      <x:c r="I23" s="3" t="str">
        <x:f>IF($F23="","",IF($E23="Team",IFERROR(INDEX(DE_Teams!$J:$J,MATCH($F23,DE_Teams!$A:$A,0)),0),IF($E23="Player",IFERROR(INDEX(DE_Players!$K:$K,MATCH($F23,DE_Players!$A:$A,0)),0),IF($E23="Coach",IFERROR(INDEX(DE_Coaches!$G:$G,MATCH($F23,DE_Coaches!$A:$A,0)),0),0))))</x:f>
      </x:c>
      <x:c r="J23" s="3"/>
      <x:c r="K23" s="3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"/>
      <x:c r="B24" s="3" t="str">
        <x:f>IFERROR(INDEX(Managers!$B:$B,MATCH(A24,Managers!$A:$A,0)),"")</x:f>
      </x:c>
      <x:c r="C24" s="3">
        <x:v>4</x:v>
      </x:c>
      <x:c r="D24" s="3">
        <x:v>5</x:v>
      </x:c>
      <x:c r="E24" s="3"/>
      <x:c r="F24" s="3"/>
      <x:c r="G24" s="3"/>
      <x:c r="H24" s="3"/>
      <x:c r="I24" s="3" t="str">
        <x:f>IF($F24="","",IF($E24="Team",IFERROR(INDEX(DE_Teams!$J:$J,MATCH($F24,DE_Teams!$A:$A,0)),0),IF($E24="Player",IFERROR(INDEX(DE_Players!$K:$K,MATCH($F24,DE_Players!$A:$A,0)),0),IF($E24="Coach",IFERROR(INDEX(DE_Coaches!$G:$G,MATCH($F24,DE_Coaches!$A:$A,0)),0),0))))</x:f>
      </x:c>
      <x:c r="J24" s="3"/>
      <x:c r="K24" s="3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3"/>
      <x:c r="B25" s="3" t="str">
        <x:f>IFERROR(INDEX(Managers!$B:$B,MATCH(A25,Managers!$A:$A,0)),"")</x:f>
      </x:c>
      <x:c r="C25" s="3">
        <x:v>4</x:v>
      </x:c>
      <x:c r="D25" s="3">
        <x:v>6</x:v>
      </x:c>
      <x:c r="E25" s="3"/>
      <x:c r="F25" s="3"/>
      <x:c r="G25" s="3"/>
      <x:c r="H25" s="3"/>
      <x:c r="I25" s="3" t="str">
        <x:f>IF($F25="","",IF($E25="Team",IFERROR(INDEX(DE_Teams!$J:$J,MATCH($F25,DE_Teams!$A:$A,0)),0),IF($E25="Player",IFERROR(INDEX(DE_Players!$K:$K,MATCH($F25,DE_Players!$A:$A,0)),0),IF($E25="Coach",IFERROR(INDEX(DE_Coaches!$G:$G,MATCH($F25,DE_Coaches!$A:$A,0)),0),0))))</x:f>
      </x:c>
      <x:c r="J25" s="3"/>
      <x:c r="K25" s="3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3"/>
      <x:c r="B26" s="3" t="str">
        <x:f>IFERROR(INDEX(Managers!$B:$B,MATCH(A26,Managers!$A:$A,0)),"")</x:f>
      </x:c>
      <x:c r="C26" s="3">
        <x:v>5</x:v>
      </x:c>
      <x:c r="D26" s="3">
        <x:v>1</x:v>
      </x:c>
      <x:c r="E26" s="3"/>
      <x:c r="F26" s="3"/>
      <x:c r="G26" s="3"/>
      <x:c r="H26" s="3"/>
      <x:c r="I26" s="3" t="str">
        <x:f>IF($F26="","",IF($E26="Team",IFERROR(INDEX(DE_Teams!$J:$J,MATCH($F26,DE_Teams!$A:$A,0)),0),IF($E26="Player",IFERROR(INDEX(DE_Players!$K:$K,MATCH($F26,DE_Players!$A:$A,0)),0),IF($E26="Coach",IFERROR(INDEX(DE_Coaches!$G:$G,MATCH($F26,DE_Coaches!$A:$A,0)),0),0))))</x:f>
      </x:c>
      <x:c r="J26" s="3"/>
      <x:c r="K26" s="3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3"/>
      <x:c r="B27" s="3" t="str">
        <x:f>IFERROR(INDEX(Managers!$B:$B,MATCH(A27,Managers!$A:$A,0)),"")</x:f>
      </x:c>
      <x:c r="C27" s="3">
        <x:v>5</x:v>
      </x:c>
      <x:c r="D27" s="3">
        <x:v>2</x:v>
      </x:c>
      <x:c r="E27" s="3"/>
      <x:c r="F27" s="3"/>
      <x:c r="G27" s="3"/>
      <x:c r="H27" s="3"/>
      <x:c r="I27" s="3" t="str">
        <x:f>IF($F27="","",IF($E27="Team",IFERROR(INDEX(DE_Teams!$J:$J,MATCH($F27,DE_Teams!$A:$A,0)),0),IF($E27="Player",IFERROR(INDEX(DE_Players!$K:$K,MATCH($F27,DE_Players!$A:$A,0)),0),IF($E27="Coach",IFERROR(INDEX(DE_Coaches!$G:$G,MATCH($F27,DE_Coaches!$A:$A,0)),0),0))))</x:f>
      </x:c>
      <x:c r="J27" s="3"/>
      <x:c r="K27" s="3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3"/>
      <x:c r="B28" s="3" t="str">
        <x:f>IFERROR(INDEX(Managers!$B:$B,MATCH(A28,Managers!$A:$A,0)),"")</x:f>
      </x:c>
      <x:c r="C28" s="3">
        <x:v>5</x:v>
      </x:c>
      <x:c r="D28" s="3">
        <x:v>3</x:v>
      </x:c>
      <x:c r="E28" s="3"/>
      <x:c r="F28" s="3"/>
      <x:c r="G28" s="3"/>
      <x:c r="H28" s="3"/>
      <x:c r="I28" s="3" t="str">
        <x:f>IF($F28="","",IF($E28="Team",IFERROR(INDEX(DE_Teams!$J:$J,MATCH($F28,DE_Teams!$A:$A,0)),0),IF($E28="Player",IFERROR(INDEX(DE_Players!$K:$K,MATCH($F28,DE_Players!$A:$A,0)),0),IF($E28="Coach",IFERROR(INDEX(DE_Coaches!$G:$G,MATCH($F28,DE_Coaches!$A:$A,0)),0),0))))</x:f>
      </x:c>
      <x:c r="J28" s="3"/>
      <x:c r="K28" s="3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3"/>
      <x:c r="B29" s="3" t="str">
        <x:f>IFERROR(INDEX(Managers!$B:$B,MATCH(A29,Managers!$A:$A,0)),"")</x:f>
      </x:c>
      <x:c r="C29" s="3">
        <x:v>5</x:v>
      </x:c>
      <x:c r="D29" s="3">
        <x:v>4</x:v>
      </x:c>
      <x:c r="E29" s="3"/>
      <x:c r="F29" s="3"/>
      <x:c r="G29" s="3"/>
      <x:c r="H29" s="3"/>
      <x:c r="I29" s="3" t="str">
        <x:f>IF($F29="","",IF($E29="Team",IFERROR(INDEX(DE_Teams!$J:$J,MATCH($F29,DE_Teams!$A:$A,0)),0),IF($E29="Player",IFERROR(INDEX(DE_Players!$K:$K,MATCH($F29,DE_Players!$A:$A,0)),0),IF($E29="Coach",IFERROR(INDEX(DE_Coaches!$G:$G,MATCH($F29,DE_Coaches!$A:$A,0)),0),0))))</x:f>
      </x:c>
      <x:c r="J29" s="3"/>
      <x:c r="K29" s="3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3"/>
      <x:c r="B30" s="3" t="str">
        <x:f>IFERROR(INDEX(Managers!$B:$B,MATCH(A30,Managers!$A:$A,0)),"")</x:f>
      </x:c>
      <x:c r="C30" s="3">
        <x:v>5</x:v>
      </x:c>
      <x:c r="D30" s="3">
        <x:v>5</x:v>
      </x:c>
      <x:c r="E30" s="3"/>
      <x:c r="F30" s="3"/>
      <x:c r="G30" s="3"/>
      <x:c r="H30" s="3"/>
      <x:c r="I30" s="3" t="str">
        <x:f>IF($F30="","",IF($E30="Team",IFERROR(INDEX(DE_Teams!$J:$J,MATCH($F30,DE_Teams!$A:$A,0)),0),IF($E30="Player",IFERROR(INDEX(DE_Players!$K:$K,MATCH($F30,DE_Players!$A:$A,0)),0),IF($E30="Coach",IFERROR(INDEX(DE_Coaches!$G:$G,MATCH($F30,DE_Coaches!$A:$A,0)),0),0))))</x:f>
      </x:c>
      <x:c r="J30" s="3"/>
      <x:c r="K30" s="3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3"/>
      <x:c r="B31" s="3" t="str">
        <x:f>IFERROR(INDEX(Managers!$B:$B,MATCH(A31,Managers!$A:$A,0)),"")</x:f>
      </x:c>
      <x:c r="C31" s="3">
        <x:v>5</x:v>
      </x:c>
      <x:c r="D31" s="3">
        <x:v>6</x:v>
      </x:c>
      <x:c r="E31" s="3"/>
      <x:c r="F31" s="3"/>
      <x:c r="G31" s="3"/>
      <x:c r="H31" s="3"/>
      <x:c r="I31" s="3" t="str">
        <x:f>IF($F31="","",IF($E31="Team",IFERROR(INDEX(DE_Teams!$J:$J,MATCH($F31,DE_Teams!$A:$A,0)),0),IF($E31="Player",IFERROR(INDEX(DE_Players!$K:$K,MATCH($F31,DE_Players!$A:$A,0)),0),IF($E31="Coach",IFERROR(INDEX(DE_Coaches!$G:$G,MATCH($F31,DE_Coaches!$A:$A,0)),0),0))))</x:f>
      </x:c>
      <x:c r="J31" s="3"/>
      <x:c r="K31" s="3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3"/>
      <x:c r="B32" s="3" t="str">
        <x:f>IFERROR(INDEX(Managers!$B:$B,MATCH(A32,Managers!$A:$A,0)),"")</x:f>
      </x:c>
      <x:c r="C32" s="3">
        <x:v>6</x:v>
      </x:c>
      <x:c r="D32" s="3">
        <x:v>1</x:v>
      </x:c>
      <x:c r="E32" s="3"/>
      <x:c r="F32" s="3"/>
      <x:c r="G32" s="3"/>
      <x:c r="H32" s="3"/>
      <x:c r="I32" s="3" t="str">
        <x:f>IF($F32="","",IF($E32="Team",IFERROR(INDEX(DE_Teams!$J:$J,MATCH($F32,DE_Teams!$A:$A,0)),0),IF($E32="Player",IFERROR(INDEX(DE_Players!$K:$K,MATCH($F32,DE_Players!$A:$A,0)),0),IF($E32="Coach",IFERROR(INDEX(DE_Coaches!$G:$G,MATCH($F32,DE_Coaches!$A:$A,0)),0),0))))</x:f>
      </x:c>
      <x:c r="J32" s="3"/>
      <x:c r="K32" s="3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3"/>
      <x:c r="B33" s="3" t="str">
        <x:f>IFERROR(INDEX(Managers!$B:$B,MATCH(A33,Managers!$A:$A,0)),"")</x:f>
      </x:c>
      <x:c r="C33" s="3">
        <x:v>6</x:v>
      </x:c>
      <x:c r="D33" s="3">
        <x:v>2</x:v>
      </x:c>
      <x:c r="E33" s="3"/>
      <x:c r="F33" s="3"/>
      <x:c r="G33" s="3"/>
      <x:c r="H33" s="3"/>
      <x:c r="I33" s="3" t="str">
        <x:f>IF($F33="","",IF($E33="Team",IFERROR(INDEX(DE_Teams!$J:$J,MATCH($F33,DE_Teams!$A:$A,0)),0),IF($E33="Player",IFERROR(INDEX(DE_Players!$K:$K,MATCH($F33,DE_Players!$A:$A,0)),0),IF($E33="Coach",IFERROR(INDEX(DE_Coaches!$G:$G,MATCH($F33,DE_Coaches!$A:$A,0)),0),0))))</x:f>
      </x:c>
      <x:c r="J33" s="3"/>
      <x:c r="K33" s="3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3"/>
      <x:c r="B34" s="3" t="str">
        <x:f>IFERROR(INDEX(Managers!$B:$B,MATCH(A34,Managers!$A:$A,0)),"")</x:f>
      </x:c>
      <x:c r="C34" s="3">
        <x:v>6</x:v>
      </x:c>
      <x:c r="D34" s="3">
        <x:v>3</x:v>
      </x:c>
      <x:c r="E34" s="3"/>
      <x:c r="F34" s="3"/>
      <x:c r="G34" s="3"/>
      <x:c r="H34" s="3"/>
      <x:c r="I34" s="3" t="str">
        <x:f>IF($F34="","",IF($E34="Team",IFERROR(INDEX(DE_Teams!$J:$J,MATCH($F34,DE_Teams!$A:$A,0)),0),IF($E34="Player",IFERROR(INDEX(DE_Players!$K:$K,MATCH($F34,DE_Players!$A:$A,0)),0),IF($E34="Coach",IFERROR(INDEX(DE_Coaches!$G:$G,MATCH($F34,DE_Coaches!$A:$A,0)),0),0))))</x:f>
      </x:c>
      <x:c r="J34" s="3"/>
      <x:c r="K34" s="3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3"/>
      <x:c r="B35" s="3" t="str">
        <x:f>IFERROR(INDEX(Managers!$B:$B,MATCH(A35,Managers!$A:$A,0)),"")</x:f>
      </x:c>
      <x:c r="C35" s="3">
        <x:v>6</x:v>
      </x:c>
      <x:c r="D35" s="3">
        <x:v>4</x:v>
      </x:c>
      <x:c r="E35" s="3"/>
      <x:c r="F35" s="3"/>
      <x:c r="G35" s="3"/>
      <x:c r="H35" s="3"/>
      <x:c r="I35" s="3" t="str">
        <x:f>IF($F35="","",IF($E35="Team",IFERROR(INDEX(DE_Teams!$J:$J,MATCH($F35,DE_Teams!$A:$A,0)),0),IF($E35="Player",IFERROR(INDEX(DE_Players!$K:$K,MATCH($F35,DE_Players!$A:$A,0)),0),IF($E35="Coach",IFERROR(INDEX(DE_Coaches!$G:$G,MATCH($F35,DE_Coaches!$A:$A,0)),0),0))))</x:f>
      </x:c>
      <x:c r="J35" s="3"/>
      <x:c r="K35" s="3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3"/>
      <x:c r="B36" s="3" t="str">
        <x:f>IFERROR(INDEX(Managers!$B:$B,MATCH(A36,Managers!$A:$A,0)),"")</x:f>
      </x:c>
      <x:c r="C36" s="3">
        <x:v>6</x:v>
      </x:c>
      <x:c r="D36" s="3">
        <x:v>5</x:v>
      </x:c>
      <x:c r="E36" s="3"/>
      <x:c r="F36" s="3"/>
      <x:c r="G36" s="3"/>
      <x:c r="H36" s="3"/>
      <x:c r="I36" s="3" t="str">
        <x:f>IF($F36="","",IF($E36="Team",IFERROR(INDEX(DE_Teams!$J:$J,MATCH($F36,DE_Teams!$A:$A,0)),0),IF($E36="Player",IFERROR(INDEX(DE_Players!$K:$K,MATCH($F36,DE_Players!$A:$A,0)),0),IF($E36="Coach",IFERROR(INDEX(DE_Coaches!$G:$G,MATCH($F36,DE_Coaches!$A:$A,0)),0),0))))</x:f>
      </x:c>
      <x:c r="J36" s="3"/>
      <x:c r="K36" s="3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3"/>
      <x:c r="B37" s="3" t="str">
        <x:f>IFERROR(INDEX(Managers!$B:$B,MATCH(A37,Managers!$A:$A,0)),"")</x:f>
      </x:c>
      <x:c r="C37" s="3">
        <x:v>6</x:v>
      </x:c>
      <x:c r="D37" s="3">
        <x:v>6</x:v>
      </x:c>
      <x:c r="E37" s="3"/>
      <x:c r="F37" s="3"/>
      <x:c r="G37" s="3"/>
      <x:c r="H37" s="3"/>
      <x:c r="I37" s="3" t="str">
        <x:f>IF($F37="","",IF($E37="Team",IFERROR(INDEX(DE_Teams!$J:$J,MATCH($F37,DE_Teams!$A:$A,0)),0),IF($E37="Player",IFERROR(INDEX(DE_Players!$K:$K,MATCH($F37,DE_Players!$A:$A,0)),0),IF($E37="Coach",IFERROR(INDEX(DE_Coaches!$G:$G,MATCH($F37,DE_Coaches!$A:$A,0)),0),0))))</x:f>
      </x:c>
      <x:c r="J37" s="3"/>
      <x:c r="K37" s="3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3"/>
      <x:c r="B38" s="3" t="str">
        <x:f>IFERROR(INDEX(Managers!$B:$B,MATCH(A38,Managers!$A:$A,0)),"")</x:f>
      </x:c>
      <x:c r="C38" s="3">
        <x:v>7</x:v>
      </x:c>
      <x:c r="D38" s="3">
        <x:v>1</x:v>
      </x:c>
      <x:c r="E38" s="3"/>
      <x:c r="F38" s="3"/>
      <x:c r="G38" s="3"/>
      <x:c r="H38" s="3"/>
      <x:c r="I38" s="3" t="str">
        <x:f>IF($F38="","",IF($E38="Team",IFERROR(INDEX(DE_Teams!$J:$J,MATCH($F38,DE_Teams!$A:$A,0)),0),IF($E38="Player",IFERROR(INDEX(DE_Players!$K:$K,MATCH($F38,DE_Players!$A:$A,0)),0),IF($E38="Coach",IFERROR(INDEX(DE_Coaches!$G:$G,MATCH($F38,DE_Coaches!$A:$A,0)),0),0))))</x:f>
      </x:c>
      <x:c r="J38" s="3"/>
      <x:c r="K38" s="3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3"/>
      <x:c r="B39" s="3" t="str">
        <x:f>IFERROR(INDEX(Managers!$B:$B,MATCH(A39,Managers!$A:$A,0)),"")</x:f>
      </x:c>
      <x:c r="C39" s="3">
        <x:v>7</x:v>
      </x:c>
      <x:c r="D39" s="3">
        <x:v>2</x:v>
      </x:c>
      <x:c r="E39" s="3"/>
      <x:c r="F39" s="3"/>
      <x:c r="G39" s="3"/>
      <x:c r="H39" s="3"/>
      <x:c r="I39" s="3" t="str">
        <x:f>IF($F39="","",IF($E39="Team",IFERROR(INDEX(DE_Teams!$J:$J,MATCH($F39,DE_Teams!$A:$A,0)),0),IF($E39="Player",IFERROR(INDEX(DE_Players!$K:$K,MATCH($F39,DE_Players!$A:$A,0)),0),IF($E39="Coach",IFERROR(INDEX(DE_Coaches!$G:$G,MATCH($F39,DE_Coaches!$A:$A,0)),0),0))))</x:f>
      </x:c>
      <x:c r="J39" s="3"/>
      <x:c r="K39" s="3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3"/>
      <x:c r="B40" s="3" t="str">
        <x:f>IFERROR(INDEX(Managers!$B:$B,MATCH(A40,Managers!$A:$A,0)),"")</x:f>
      </x:c>
      <x:c r="C40" s="3">
        <x:v>7</x:v>
      </x:c>
      <x:c r="D40" s="3">
        <x:v>3</x:v>
      </x:c>
      <x:c r="E40" s="3"/>
      <x:c r="F40" s="3"/>
      <x:c r="G40" s="3"/>
      <x:c r="H40" s="3"/>
      <x:c r="I40" s="3" t="str">
        <x:f>IF($F40="","",IF($E40="Team",IFERROR(INDEX(DE_Teams!$J:$J,MATCH($F40,DE_Teams!$A:$A,0)),0),IF($E40="Player",IFERROR(INDEX(DE_Players!$K:$K,MATCH($F40,DE_Players!$A:$A,0)),0),IF($E40="Coach",IFERROR(INDEX(DE_Coaches!$G:$G,MATCH($F40,DE_Coaches!$A:$A,0)),0),0))))</x:f>
      </x:c>
      <x:c r="J40" s="3"/>
      <x:c r="K40" s="3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3"/>
      <x:c r="B41" s="3" t="str">
        <x:f>IFERROR(INDEX(Managers!$B:$B,MATCH(A41,Managers!$A:$A,0)),"")</x:f>
      </x:c>
      <x:c r="C41" s="3">
        <x:v>7</x:v>
      </x:c>
      <x:c r="D41" s="3">
        <x:v>4</x:v>
      </x:c>
      <x:c r="E41" s="3"/>
      <x:c r="F41" s="3"/>
      <x:c r="G41" s="3"/>
      <x:c r="H41" s="3"/>
      <x:c r="I41" s="3" t="str">
        <x:f>IF($F41="","",IF($E41="Team",IFERROR(INDEX(DE_Teams!$J:$J,MATCH($F41,DE_Teams!$A:$A,0)),0),IF($E41="Player",IFERROR(INDEX(DE_Players!$K:$K,MATCH($F41,DE_Players!$A:$A,0)),0),IF($E41="Coach",IFERROR(INDEX(DE_Coaches!$G:$G,MATCH($F41,DE_Coaches!$A:$A,0)),0),0))))</x:f>
      </x:c>
      <x:c r="J41" s="3"/>
      <x:c r="K41" s="3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3"/>
      <x:c r="B42" s="3" t="str">
        <x:f>IFERROR(INDEX(Managers!$B:$B,MATCH(A42,Managers!$A:$A,0)),"")</x:f>
      </x:c>
      <x:c r="C42" s="3">
        <x:v>7</x:v>
      </x:c>
      <x:c r="D42" s="3">
        <x:v>5</x:v>
      </x:c>
      <x:c r="E42" s="3"/>
      <x:c r="F42" s="3"/>
      <x:c r="G42" s="3"/>
      <x:c r="H42" s="3"/>
      <x:c r="I42" s="3" t="str">
        <x:f>IF($F42="","",IF($E42="Team",IFERROR(INDEX(DE_Teams!$J:$J,MATCH($F42,DE_Teams!$A:$A,0)),0),IF($E42="Player",IFERROR(INDEX(DE_Players!$K:$K,MATCH($F42,DE_Players!$A:$A,0)),0),IF($E42="Coach",IFERROR(INDEX(DE_Coaches!$G:$G,MATCH($F42,DE_Coaches!$A:$A,0)),0),0))))</x:f>
      </x:c>
      <x:c r="J42" s="3"/>
      <x:c r="K42" s="3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3"/>
      <x:c r="B43" s="3" t="str">
        <x:f>IFERROR(INDEX(Managers!$B:$B,MATCH(A43,Managers!$A:$A,0)),"")</x:f>
      </x:c>
      <x:c r="C43" s="3">
        <x:v>7</x:v>
      </x:c>
      <x:c r="D43" s="3">
        <x:v>6</x:v>
      </x:c>
      <x:c r="E43" s="3"/>
      <x:c r="F43" s="3"/>
      <x:c r="G43" s="3"/>
      <x:c r="H43" s="3"/>
      <x:c r="I43" s="3" t="str">
        <x:f>IF($F43="","",IF($E43="Team",IFERROR(INDEX(DE_Teams!$J:$J,MATCH($F43,DE_Teams!$A:$A,0)),0),IF($E43="Player",IFERROR(INDEX(DE_Players!$K:$K,MATCH($F43,DE_Players!$A:$A,0)),0),IF($E43="Coach",IFERROR(INDEX(DE_Coaches!$G:$G,MATCH($F43,DE_Coaches!$A:$A,0)),0),0))))</x:f>
      </x:c>
      <x:c r="J43" s="3"/>
      <x:c r="K43" s="3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3"/>
      <x:c r="B44" s="3" t="str">
        <x:f>IFERROR(INDEX(Managers!$B:$B,MATCH(A44,Managers!$A:$A,0)),"")</x:f>
      </x:c>
      <x:c r="C44" s="3">
        <x:v>8</x:v>
      </x:c>
      <x:c r="D44" s="3">
        <x:v>1</x:v>
      </x:c>
      <x:c r="E44" s="3"/>
      <x:c r="F44" s="3"/>
      <x:c r="G44" s="3"/>
      <x:c r="H44" s="3"/>
      <x:c r="I44" s="3" t="str">
        <x:f>IF($F44="","",IF($E44="Team",IFERROR(INDEX(DE_Teams!$J:$J,MATCH($F44,DE_Teams!$A:$A,0)),0),IF($E44="Player",IFERROR(INDEX(DE_Players!$K:$K,MATCH($F44,DE_Players!$A:$A,0)),0),IF($E44="Coach",IFERROR(INDEX(DE_Coaches!$G:$G,MATCH($F44,DE_Coaches!$A:$A,0)),0),0))))</x:f>
      </x:c>
      <x:c r="J44" s="3"/>
      <x:c r="K44" s="3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3"/>
      <x:c r="B45" s="3" t="str">
        <x:f>IFERROR(INDEX(Managers!$B:$B,MATCH(A45,Managers!$A:$A,0)),"")</x:f>
      </x:c>
      <x:c r="C45" s="3">
        <x:v>8</x:v>
      </x:c>
      <x:c r="D45" s="3">
        <x:v>2</x:v>
      </x:c>
      <x:c r="E45" s="3"/>
      <x:c r="F45" s="3"/>
      <x:c r="G45" s="3"/>
      <x:c r="H45" s="3"/>
      <x:c r="I45" s="3" t="str">
        <x:f>IF($F45="","",IF($E45="Team",IFERROR(INDEX(DE_Teams!$J:$J,MATCH($F45,DE_Teams!$A:$A,0)),0),IF($E45="Player",IFERROR(INDEX(DE_Players!$K:$K,MATCH($F45,DE_Players!$A:$A,0)),0),IF($E45="Coach",IFERROR(INDEX(DE_Coaches!$G:$G,MATCH($F45,DE_Coaches!$A:$A,0)),0),0))))</x:f>
      </x:c>
      <x:c r="J45" s="3"/>
      <x:c r="K45" s="3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3"/>
      <x:c r="B46" s="3" t="str">
        <x:f>IFERROR(INDEX(Managers!$B:$B,MATCH(A46,Managers!$A:$A,0)),"")</x:f>
      </x:c>
      <x:c r="C46" s="3">
        <x:v>8</x:v>
      </x:c>
      <x:c r="D46" s="3">
        <x:v>3</x:v>
      </x:c>
      <x:c r="E46" s="3"/>
      <x:c r="F46" s="3"/>
      <x:c r="G46" s="3"/>
      <x:c r="H46" s="3"/>
      <x:c r="I46" s="3" t="str">
        <x:f>IF($F46="","",IF($E46="Team",IFERROR(INDEX(DE_Teams!$J:$J,MATCH($F46,DE_Teams!$A:$A,0)),0),IF($E46="Player",IFERROR(INDEX(DE_Players!$K:$K,MATCH($F46,DE_Players!$A:$A,0)),0),IF($E46="Coach",IFERROR(INDEX(DE_Coaches!$G:$G,MATCH($F46,DE_Coaches!$A:$A,0)),0),0))))</x:f>
      </x:c>
      <x:c r="J46" s="3"/>
      <x:c r="K46" s="3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3"/>
      <x:c r="B47" s="3" t="str">
        <x:f>IFERROR(INDEX(Managers!$B:$B,MATCH(A47,Managers!$A:$A,0)),"")</x:f>
      </x:c>
      <x:c r="C47" s="3">
        <x:v>8</x:v>
      </x:c>
      <x:c r="D47" s="3">
        <x:v>4</x:v>
      </x:c>
      <x:c r="E47" s="3"/>
      <x:c r="F47" s="3"/>
      <x:c r="G47" s="3"/>
      <x:c r="H47" s="3"/>
      <x:c r="I47" s="3" t="str">
        <x:f>IF($F47="","",IF($E47="Team",IFERROR(INDEX(DE_Teams!$J:$J,MATCH($F47,DE_Teams!$A:$A,0)),0),IF($E47="Player",IFERROR(INDEX(DE_Players!$K:$K,MATCH($F47,DE_Players!$A:$A,0)),0),IF($E47="Coach",IFERROR(INDEX(DE_Coaches!$G:$G,MATCH($F47,DE_Coaches!$A:$A,0)),0),0))))</x:f>
      </x:c>
      <x:c r="J47" s="3"/>
      <x:c r="K47" s="3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3"/>
      <x:c r="B48" s="3" t="str">
        <x:f>IFERROR(INDEX(Managers!$B:$B,MATCH(A48,Managers!$A:$A,0)),"")</x:f>
      </x:c>
      <x:c r="C48" s="3">
        <x:v>8</x:v>
      </x:c>
      <x:c r="D48" s="3">
        <x:v>5</x:v>
      </x:c>
      <x:c r="E48" s="3"/>
      <x:c r="F48" s="3"/>
      <x:c r="G48" s="3"/>
      <x:c r="H48" s="3"/>
      <x:c r="I48" s="3" t="str">
        <x:f>IF($F48="","",IF($E48="Team",IFERROR(INDEX(DE_Teams!$J:$J,MATCH($F48,DE_Teams!$A:$A,0)),0),IF($E48="Player",IFERROR(INDEX(DE_Players!$K:$K,MATCH($F48,DE_Players!$A:$A,0)),0),IF($E48="Coach",IFERROR(INDEX(DE_Coaches!$G:$G,MATCH($F48,DE_Coaches!$A:$A,0)),0),0))))</x:f>
      </x:c>
      <x:c r="J48" s="3"/>
      <x:c r="K48" s="3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3"/>
      <x:c r="B49" s="3" t="str">
        <x:f>IFERROR(INDEX(Managers!$B:$B,MATCH(A49,Managers!$A:$A,0)),"")</x:f>
      </x:c>
      <x:c r="C49" s="3">
        <x:v>8</x:v>
      </x:c>
      <x:c r="D49" s="3">
        <x:v>6</x:v>
      </x:c>
      <x:c r="E49" s="3"/>
      <x:c r="F49" s="3"/>
      <x:c r="G49" s="3"/>
      <x:c r="H49" s="3"/>
      <x:c r="I49" s="3" t="str">
        <x:f>IF($F49="","",IF($E49="Team",IFERROR(INDEX(DE_Teams!$J:$J,MATCH($F49,DE_Teams!$A:$A,0)),0),IF($E49="Player",IFERROR(INDEX(DE_Players!$K:$K,MATCH($F49,DE_Players!$A:$A,0)),0),IF($E49="Coach",IFERROR(INDEX(DE_Coaches!$G:$G,MATCH($F49,DE_Coaches!$A:$A,0)),0),0))))</x:f>
      </x:c>
      <x:c r="J49" s="3"/>
      <x:c r="K49" s="3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3"/>
      <x:c r="B50" s="3" t="str">
        <x:f>IFERROR(INDEX(Managers!$B:$B,MATCH(A50,Managers!$A:$A,0)),"")</x:f>
      </x:c>
      <x:c r="C50" s="3">
        <x:v>9</x:v>
      </x:c>
      <x:c r="D50" s="3">
        <x:v>1</x:v>
      </x:c>
      <x:c r="E50" s="3"/>
      <x:c r="F50" s="3"/>
      <x:c r="G50" s="3"/>
      <x:c r="H50" s="3"/>
      <x:c r="I50" s="3" t="str">
        <x:f>IF($F50="","",IF($E50="Team",IFERROR(INDEX(DE_Teams!$J:$J,MATCH($F50,DE_Teams!$A:$A,0)),0),IF($E50="Player",IFERROR(INDEX(DE_Players!$K:$K,MATCH($F50,DE_Players!$A:$A,0)),0),IF($E50="Coach",IFERROR(INDEX(DE_Coaches!$G:$G,MATCH($F50,DE_Coaches!$A:$A,0)),0),0))))</x:f>
      </x:c>
      <x:c r="J50" s="3"/>
      <x:c r="K50" s="3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3"/>
      <x:c r="B51" s="3" t="str">
        <x:f>IFERROR(INDEX(Managers!$B:$B,MATCH(A51,Managers!$A:$A,0)),"")</x:f>
      </x:c>
      <x:c r="C51" s="3">
        <x:v>9</x:v>
      </x:c>
      <x:c r="D51" s="3">
        <x:v>2</x:v>
      </x:c>
      <x:c r="E51" s="3"/>
      <x:c r="F51" s="3"/>
      <x:c r="G51" s="3"/>
      <x:c r="H51" s="3"/>
      <x:c r="I51" s="3" t="str">
        <x:f>IF($F51="","",IF($E51="Team",IFERROR(INDEX(DE_Teams!$J:$J,MATCH($F51,DE_Teams!$A:$A,0)),0),IF($E51="Player",IFERROR(INDEX(DE_Players!$K:$K,MATCH($F51,DE_Players!$A:$A,0)),0),IF($E51="Coach",IFERROR(INDEX(DE_Coaches!$G:$G,MATCH($F51,DE_Coaches!$A:$A,0)),0),0))))</x:f>
      </x:c>
      <x:c r="J51" s="3"/>
      <x:c r="K51" s="3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3"/>
      <x:c r="B52" s="3" t="str">
        <x:f>IFERROR(INDEX(Managers!$B:$B,MATCH(A52,Managers!$A:$A,0)),"")</x:f>
      </x:c>
      <x:c r="C52" s="3">
        <x:v>9</x:v>
      </x:c>
      <x:c r="D52" s="3">
        <x:v>3</x:v>
      </x:c>
      <x:c r="E52" s="3"/>
      <x:c r="F52" s="3"/>
      <x:c r="G52" s="3"/>
      <x:c r="H52" s="3"/>
      <x:c r="I52" s="3" t="str">
        <x:f>IF($F52="","",IF($E52="Team",IFERROR(INDEX(DE_Teams!$J:$J,MATCH($F52,DE_Teams!$A:$A,0)),0),IF($E52="Player",IFERROR(INDEX(DE_Players!$K:$K,MATCH($F52,DE_Players!$A:$A,0)),0),IF($E52="Coach",IFERROR(INDEX(DE_Coaches!$G:$G,MATCH($F52,DE_Coaches!$A:$A,0)),0),0))))</x:f>
      </x:c>
      <x:c r="J52" s="3"/>
      <x:c r="K52" s="3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3"/>
      <x:c r="B53" s="3" t="str">
        <x:f>IFERROR(INDEX(Managers!$B:$B,MATCH(A53,Managers!$A:$A,0)),"")</x:f>
      </x:c>
      <x:c r="C53" s="3">
        <x:v>9</x:v>
      </x:c>
      <x:c r="D53" s="3">
        <x:v>4</x:v>
      </x:c>
      <x:c r="E53" s="3"/>
      <x:c r="F53" s="3"/>
      <x:c r="G53" s="3"/>
      <x:c r="H53" s="3"/>
      <x:c r="I53" s="3" t="str">
        <x:f>IF($F53="","",IF($E53="Team",IFERROR(INDEX(DE_Teams!$J:$J,MATCH($F53,DE_Teams!$A:$A,0)),0),IF($E53="Player",IFERROR(INDEX(DE_Players!$K:$K,MATCH($F53,DE_Players!$A:$A,0)),0),IF($E53="Coach",IFERROR(INDEX(DE_Coaches!$G:$G,MATCH($F53,DE_Coaches!$A:$A,0)),0),0))))</x:f>
      </x:c>
      <x:c r="J53" s="3"/>
      <x:c r="K53" s="3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3"/>
      <x:c r="B54" s="3" t="str">
        <x:f>IFERROR(INDEX(Managers!$B:$B,MATCH(A54,Managers!$A:$A,0)),"")</x:f>
      </x:c>
      <x:c r="C54" s="3">
        <x:v>9</x:v>
      </x:c>
      <x:c r="D54" s="3">
        <x:v>5</x:v>
      </x:c>
      <x:c r="E54" s="3"/>
      <x:c r="F54" s="3"/>
      <x:c r="G54" s="3"/>
      <x:c r="H54" s="3"/>
      <x:c r="I54" s="3" t="str">
        <x:f>IF($F54="","",IF($E54="Team",IFERROR(INDEX(DE_Teams!$J:$J,MATCH($F54,DE_Teams!$A:$A,0)),0),IF($E54="Player",IFERROR(INDEX(DE_Players!$K:$K,MATCH($F54,DE_Players!$A:$A,0)),0),IF($E54="Coach",IFERROR(INDEX(DE_Coaches!$G:$G,MATCH($F54,DE_Coaches!$A:$A,0)),0),0))))</x:f>
      </x:c>
      <x:c r="J54" s="3"/>
      <x:c r="K54" s="3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3"/>
      <x:c r="B55" s="3" t="str">
        <x:f>IFERROR(INDEX(Managers!$B:$B,MATCH(A55,Managers!$A:$A,0)),"")</x:f>
      </x:c>
      <x:c r="C55" s="3">
        <x:v>9</x:v>
      </x:c>
      <x:c r="D55" s="3">
        <x:v>6</x:v>
      </x:c>
      <x:c r="E55" s="3"/>
      <x:c r="F55" s="3"/>
      <x:c r="G55" s="3"/>
      <x:c r="H55" s="3"/>
      <x:c r="I55" s="3" t="str">
        <x:f>IF($F55="","",IF($E55="Team",IFERROR(INDEX(DE_Teams!$J:$J,MATCH($F55,DE_Teams!$A:$A,0)),0),IF($E55="Player",IFERROR(INDEX(DE_Players!$K:$K,MATCH($F55,DE_Players!$A:$A,0)),0),IF($E55="Coach",IFERROR(INDEX(DE_Coaches!$G:$G,MATCH($F55,DE_Coaches!$A:$A,0)),0),0))))</x:f>
      </x:c>
      <x:c r="J55" s="3"/>
      <x:c r="K55" s="3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dataValidations count="2">
    <x:dataValidation type="list" sqref="E2:E200">
      <x:formula1>"Team,Player,Coach"</x:formula1>
    </x:dataValidation>
    <x:dataValidation type="list" sqref="E2:E100">
      <x:formula1>"Team,Player,Coach"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3.800000190734863"/>
  <x:cols>
    <x:col min="1" max="1" width="9.960000038146973" hidden="0" customWidth="1"/>
    <x:col min="4" max="4" width="13.59000015258789" hidden="0" customWidth="1"/>
    <x:col min="5" max="5" width="15.069999694824219" hidden="0" customWidth="1"/>
    <x:col min="6" max="6" width="20.31999969482422" hidden="0" customWidth="1"/>
    <x:col min="7" max="7" width="11.84000015258789" hidden="0" customWidth="1"/>
    <x:col min="11" max="11" width="17.09000015258789" hidden="0" customWidth="1"/>
    <x:col min="12" max="12" width="14.270000457763672" hidden="0" customWidth="1"/>
    <x:col min="13" max="13" width="5.519999980926514" hidden="0" customWidth="1"/>
    <x:col min="15" max="15" width="15.609999656677246" style="15" hidden="0" customWidth="1"/>
    <x:col min="16" max="16" width="4.440000057220459" hidden="0" customWidth="1"/>
    <x:col min="2" max="2" width="13.1899995803833" hidden="0" customWidth="1"/>
    <x:col min="3" max="3" width="12.520000457763672" hidden="0" customWidth="1"/>
    <x:col min="8" max="8" width="12.789999961853027" hidden="0" customWidth="1"/>
    <x:col min="9" max="9" width="14.270000457763672" hidden="0" customWidth="1"/>
    <x:col min="10" max="10" width="6.730000019073486" hidden="0" customWidth="1"/>
  </x:cols>
  <x:sheetData>
    <x:row r="1" ht="22.350000381469727" customHeight="1">
      <x:c r="A1" s="40" t="s">
        <x:v>0</x:v>
      </x:c>
      <x:c r="B1" s="40" t="s">
        <x:v>1</x:v>
      </x:c>
      <x:c r="C1" s="40" t="s">
        <x:v>111</x:v>
      </x:c>
      <x:c r="D1" s="40" t="s">
        <x:v>112</x:v>
      </x:c>
      <x:c r="E1" s="40" t="s">
        <x:v>113</x:v>
      </x:c>
      <x:c r="F1" s="40" t="s">
        <x:v>114</x:v>
      </x:c>
      <x:c r="G1" s="40" t="s">
        <x:v>115</x:v>
      </x:c>
      <x:c r="H1" s="40" t="s">
        <x:v>116</x:v>
      </x:c>
      <x:c r="I1" s="40" t="s">
        <x:v>117</x:v>
      </x:c>
      <x:c r="J1" s="40" t="s">
        <x:v>118</x:v>
      </x:c>
      <x:c r="K1" s="40" t="s">
        <x:v>119</x:v>
      </x:c>
      <x:c r="L1" s="40" t="s">
        <x:v>120</x:v>
      </x:c>
      <x:c r="M1" s="40" t="s">
        <x:v>121</x:v>
      </x:c>
      <x:c r="N1" s="40"/>
      <x:c r="O1" s="40" t="s">
        <x:v>122</x:v>
      </x:c>
      <x:c r="P1" s="40" t="s">
        <x:v>123</x:v>
      </x:c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3" t="s">
        <x:v>6</x:v>
      </x:c>
      <x:c r="B2" s="3" t="str">
        <x:f>IFERROR(INDEX(Managers!$B:$B,MATCH(A2,Managers!$A:$A,0)),"")</x:f>
        <x:v>Manager 1</x:v>
      </x:c>
      <x:c r="C2" s="3"/>
      <x:c r="D2" s="3"/>
      <x:c r="E2" s="3"/>
      <x:c r="F2" s="3"/>
      <x:c r="G2" s="3" t="n">
        <x:f t="shared" ref="G2:G7" si="0">IF($P$2="","",IF(C2=$P$2,75,0))</x:f>
        <x:v>0</x:v>
      </x:c>
      <x:c r="H2" s="3" t="n">
        <x:f t="shared" ref="H2:H7" si="1">IF($P$3="","",IF(D2=$P$3,40,0))</x:f>
        <x:v>0</x:v>
      </x:c>
      <x:c r="I2" s="3" t="n">
        <x:f t="shared" ref="I2:I7" si="2">IF($P$4="","",IF(E2=$P$4,75,0))</x:f>
        <x:v>0</x:v>
      </x:c>
      <x:c r="J2" s="3" t="n">
        <x:f t="shared" ref="J2:J7" si="3">IF($P$5="","",IF(F2=$P$5,75,0))</x:f>
        <x:v>0</x:v>
      </x:c>
      <x:c r="K2" s="3" t="n">
        <x:f t="shared" ref="K2:K7" si="4">SUM(G2:J2)</x:f>
        <x:v>0</x:v>
      </x:c>
      <x:c r="L2" s="3"/>
      <x:c r="M2" s="4" t="b">
        <x:v>0</x:v>
      </x:c>
      <x:c r="N2" s="2"/>
      <x:c r="O2" s="15" t="s">
        <x:v>62</x:v>
      </x:c>
      <x:c r="P2" s="2" t="n">
        <x:v>75</x:v>
      </x:c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" t="s">
        <x:v>10</x:v>
      </x:c>
      <x:c r="B3" s="3" t="str">
        <x:f>IFERROR(INDEX(Managers!$B:$B,MATCH(A3,Managers!$A:$A,0)),"")</x:f>
        <x:v>Manager 2</x:v>
      </x:c>
      <x:c r="C3" s="3"/>
      <x:c r="D3" s="3"/>
      <x:c r="E3" s="3"/>
      <x:c r="F3" s="3"/>
      <x:c r="G3" s="3" t="n">
        <x:f t="shared" si="0">IF($P$2="","",IF(C3=$P$2,75,0))</x:f>
        <x:v>0</x:v>
      </x:c>
      <x:c r="H3" s="3" t="n">
        <x:f t="shared" si="1">IF($P$3="","",IF(D3=$P$3,40,0))</x:f>
        <x:v>0</x:v>
      </x:c>
      <x:c r="I3" s="3" t="n">
        <x:f t="shared" si="2">IF($P$4="","",IF(E3=$P$4,75,0))</x:f>
        <x:v>0</x:v>
      </x:c>
      <x:c r="J3" s="3" t="n">
        <x:f t="shared" si="3">IF($P$5="","",IF(F3=$P$5,75,0))</x:f>
        <x:v>0</x:v>
      </x:c>
      <x:c r="K3" s="3" t="n">
        <x:f t="shared" si="4">SUM(G3:J3)</x:f>
        <x:v>0</x:v>
      </x:c>
      <x:c r="L3" s="3"/>
      <x:c r="M3" s="4" t="b">
        <x:v>0</x:v>
      </x:c>
      <x:c r="N3" s="2"/>
      <x:c r="O3" s="15" t="s">
        <x:v>124</x:v>
      </x:c>
      <x:c r="P3" s="2" t="n">
        <x:v>40</x:v>
      </x:c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" t="s">
        <x:v>14</x:v>
      </x:c>
      <x:c r="B4" s="3" t="str">
        <x:f>IFERROR(INDEX(Managers!$B:$B,MATCH(A4,Managers!$A:$A,0)),"")</x:f>
        <x:v>Manager 3</x:v>
      </x:c>
      <x:c r="C4" s="3"/>
      <x:c r="D4" s="3"/>
      <x:c r="E4" s="3"/>
      <x:c r="F4" s="3"/>
      <x:c r="G4" s="3" t="n">
        <x:f t="shared" si="0">IF($P$2="","",IF(C4=$P$2,75,0))</x:f>
        <x:v>0</x:v>
      </x:c>
      <x:c r="H4" s="3" t="n">
        <x:f t="shared" si="1">IF($P$3="","",IF(D4=$P$3,40,0))</x:f>
        <x:v>0</x:v>
      </x:c>
      <x:c r="I4" s="3" t="n">
        <x:f t="shared" si="2">IF($P$4="","",IF(E4=$P$4,75,0))</x:f>
        <x:v>0</x:v>
      </x:c>
      <x:c r="J4" s="3" t="n">
        <x:f t="shared" si="3">IF($P$5="","",IF(F4=$P$5,75,0))</x:f>
        <x:v>0</x:v>
      </x:c>
      <x:c r="K4" s="3" t="n">
        <x:f t="shared" si="4">SUM(G4:J4)</x:f>
        <x:v>0</x:v>
      </x:c>
      <x:c r="L4" s="3"/>
      <x:c r="M4" s="4" t="b">
        <x:v>0</x:v>
      </x:c>
      <x:c r="N4" s="2"/>
      <x:c r="O4" s="15" t="s">
        <x:v>125</x:v>
      </x:c>
      <x:c r="P4" s="2" t="n">
        <x:v>75</x:v>
      </x:c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" t="s">
        <x:v>18</x:v>
      </x:c>
      <x:c r="B5" s="3" t="str">
        <x:f>IFERROR(INDEX(Managers!$B:$B,MATCH(A5,Managers!$A:$A,0)),"")</x:f>
        <x:v>Manager 4</x:v>
      </x:c>
      <x:c r="C5" s="3"/>
      <x:c r="D5" s="3"/>
      <x:c r="E5" s="3"/>
      <x:c r="F5" s="3"/>
      <x:c r="G5" s="3" t="n">
        <x:f t="shared" si="0">IF($P$2="","",IF(C5=$P$2,75,0))</x:f>
        <x:v>0</x:v>
      </x:c>
      <x:c r="H5" s="3" t="n">
        <x:f t="shared" si="1">IF($P$3="","",IF(D5=$P$3,40,0))</x:f>
        <x:v>0</x:v>
      </x:c>
      <x:c r="I5" s="3" t="n">
        <x:f t="shared" si="2">IF($P$4="","",IF(E5=$P$4,75,0))</x:f>
        <x:v>0</x:v>
      </x:c>
      <x:c r="J5" s="3" t="n">
        <x:f t="shared" si="3">IF($P$5="","",IF(F5=$P$5,75,0))</x:f>
        <x:v>0</x:v>
      </x:c>
      <x:c r="K5" s="3" t="n">
        <x:f t="shared" si="4">SUM(G5:J5)</x:f>
        <x:v>0</x:v>
      </x:c>
      <x:c r="L5" s="3"/>
      <x:c r="M5" s="4" t="b">
        <x:v>0</x:v>
      </x:c>
      <x:c r="N5" s="2"/>
      <x:c r="O5" s="15" t="s">
        <x:v>126</x:v>
      </x:c>
      <x:c r="P5" s="2" t="n">
        <x:v>75</x:v>
      </x:c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" t="s">
        <x:v>22</x:v>
      </x:c>
      <x:c r="B6" s="3" t="str">
        <x:f>IFERROR(INDEX(Managers!$B:$B,MATCH(A6,Managers!$A:$A,0)),"")</x:f>
        <x:v>Manager 5</x:v>
      </x:c>
      <x:c r="C6" s="3"/>
      <x:c r="D6" s="3"/>
      <x:c r="E6" s="3"/>
      <x:c r="F6" s="3"/>
      <x:c r="G6" s="3" t="n">
        <x:f t="shared" si="0">IF($P$2="","",IF(C6=$P$2,75,0))</x:f>
        <x:v>0</x:v>
      </x:c>
      <x:c r="H6" s="3" t="n">
        <x:f t="shared" si="1">IF($P$3="","",IF(D6=$P$3,40,0))</x:f>
        <x:v>0</x:v>
      </x:c>
      <x:c r="I6" s="3" t="n">
        <x:f t="shared" si="2">IF($P$4="","",IF(E6=$P$4,75,0))</x:f>
        <x:v>0</x:v>
      </x:c>
      <x:c r="J6" s="3" t="n">
        <x:f t="shared" si="3">IF($P$5="","",IF(F6=$P$5,75,0))</x:f>
        <x:v>0</x:v>
      </x:c>
      <x:c r="K6" s="3" t="n">
        <x:f t="shared" si="4">SUM(G6:J6)</x:f>
        <x:v>0</x:v>
      </x:c>
      <x:c r="L6" s="3"/>
      <x:c r="M6" s="4" t="b">
        <x:v>0</x:v>
      </x:c>
      <x:c r="N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" t="s">
        <x:v>26</x:v>
      </x:c>
      <x:c r="B7" s="3" t="str">
        <x:f>IFERROR(INDEX(Managers!$B:$B,MATCH(A7,Managers!$A:$A,0)),"")</x:f>
        <x:v>Manager 6</x:v>
      </x:c>
      <x:c r="C7" s="3"/>
      <x:c r="D7" s="3"/>
      <x:c r="E7" s="3"/>
      <x:c r="F7" s="3"/>
      <x:c r="G7" s="3" t="n">
        <x:f t="shared" si="0">IF($P$2="","",IF(C7=$P$2,75,0))</x:f>
        <x:v>0</x:v>
      </x:c>
      <x:c r="H7" s="3" t="n">
        <x:f t="shared" si="1">IF($P$3="","",IF(D7=$P$3,40,0))</x:f>
        <x:v>0</x:v>
      </x:c>
      <x:c r="I7" s="3" t="n">
        <x:f t="shared" si="2">IF($P$4="","",IF(E7=$P$4,75,0))</x:f>
        <x:v>0</x:v>
      </x:c>
      <x:c r="J7" s="3" t="n">
        <x:f t="shared" si="3">IF($P$5="","",IF(F7=$P$5,75,0))</x:f>
        <x:v>0</x:v>
      </x:c>
      <x:c r="K7" s="3" t="n">
        <x:f t="shared" si="4">SUM(G7:J7)</x:f>
        <x:v>0</x:v>
      </x:c>
      <x:c r="L7" s="3"/>
      <x:c r="M7" s="4" t="b">
        <x:v>0</x:v>
      </x:c>
      <x:c r="N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dataValidations count="1">
    <x:dataValidation type="list" sqref="M2:M100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3.800000190734863"/>
  <x:cols>
    <x:col min="1" max="1" width="7.940000057220459" hidden="0" customWidth="1"/>
    <x:col min="2" max="2" width="11.84000015258789" hidden="0" customWidth="1"/>
    <x:col min="3" max="3" width="3.7699999809265137" hidden="0" customWidth="1"/>
    <x:col min="4" max="4" width="12.380000114440918" hidden="0" customWidth="1"/>
    <x:col min="5" max="5" width="12.380000114440918" hidden="0" customWidth="1"/>
    <x:col min="6" max="6" width="6.059999942779541" hidden="0" customWidth="1"/>
    <x:col min="7" max="7" width="6.590000152587891" hidden="0" customWidth="1"/>
    <x:col min="8" max="8" width="6.460000038146973" hidden="0" customWidth="1"/>
    <x:col min="9" max="9" width="7.269999980926514" hidden="0" customWidth="1"/>
    <x:col min="10" max="10" width="9.149999618530273" hidden="0" customWidth="1"/>
    <x:col min="11" max="11" width="11.3100004196167" hidden="0" customWidth="1"/>
    <x:col min="12" max="12" width="21.270000457763672" hidden="0" customWidth="1"/>
  </x:cols>
  <x:sheetData>
    <x:row r="1" ht="22.350000381469727" customHeight="1">
      <x:c r="A1" s="40" t="s">
        <x:v>30</x:v>
      </x:c>
      <x:c r="B1" s="40" t="s">
        <x:v>127</x:v>
      </x:c>
      <x:c r="C1" s="40" t="s">
        <x:v>31</x:v>
      </x:c>
      <x:c r="D1" s="40" t="s">
        <x:v>33</x:v>
      </x:c>
      <x:c r="E1" s="40" t="s">
        <x:v>34</x:v>
      </x:c>
      <x:c r="F1" s="40" t="s">
        <x:v>128</x:v>
      </x:c>
      <x:c r="G1" s="40" t="s">
        <x:v>129</x:v>
      </x:c>
      <x:c r="H1" s="40" t="s">
        <x:v>130</x:v>
      </x:c>
      <x:c r="I1" s="40" t="s">
        <x:v>131</x:v>
      </x:c>
      <x:c r="J1" s="40" t="s">
        <x:v>132</x:v>
      </x:c>
      <x:c r="K1" s="40" t="s">
        <x:v>133</x:v>
      </x:c>
      <x:c r="L1" s="40" t="s">
        <x:v>4</x:v>
      </x:c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 ht="27.600000381469727">
      <x:c r="A2" s="3" t="s">
        <x:v>134</x:v>
      </x:c>
      <x:c r="B2" s="3" t="s">
        <x:v>135</x:v>
      </x:c>
      <x:c r="C2" s="3"/>
      <x:c r="D2" s="3" t="s">
        <x:v>38</x:v>
      </x:c>
      <x:c r="E2" s="3" t="s">
        <x:v>39</x:v>
      </x:c>
      <x:c r="F2" s="3"/>
      <x:c r="G2" s="3"/>
      <x:c r="H2" s="3"/>
      <x:c r="I2" s="4" t="b">
        <x:v>0</x:v>
      </x:c>
      <x:c r="J2" s="4" t="b">
        <x:v>0</x:v>
      </x:c>
      <x:c r="K2" s="3" t="s">
        <x:v>136</x:v>
      </x:c>
      <x:c r="L2" s="3" t="s">
        <x:v>137</x:v>
      </x:c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7.600000381469727">
      <x:c r="A3" s="3" t="s">
        <x:v>138</x:v>
      </x:c>
      <x:c r="B3" s="3" t="s">
        <x:v>139</x:v>
      </x:c>
      <x:c r="C3" s="3"/>
      <x:c r="D3" s="3" t="s">
        <x:v>140</x:v>
      </x:c>
      <x:c r="E3" s="3" t="s">
        <x:v>141</x:v>
      </x:c>
      <x:c r="F3" s="3"/>
      <x:c r="G3" s="3"/>
      <x:c r="H3" s="3"/>
      <x:c r="I3" s="4" t="b">
        <x:v>0</x:v>
      </x:c>
      <x:c r="J3" s="4" t="b">
        <x:v>0</x:v>
      </x:c>
      <x:c r="K3" s="3" t="s">
        <x:v>136</x:v>
      </x:c>
      <x:c r="L3" s="3" t="s">
        <x:v>137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7.600000381469727">
      <x:c r="A4" s="3" t="s">
        <x:v>142</x:v>
      </x:c>
      <x:c r="B4" s="3" t="s">
        <x:v>143</x:v>
      </x:c>
      <x:c r="C4" s="3"/>
      <x:c r="D4" s="3"/>
      <x:c r="E4" s="3"/>
      <x:c r="F4" s="3"/>
      <x:c r="G4" s="3"/>
      <x:c r="H4" s="3"/>
      <x:c r="I4" s="4" t="b">
        <x:v>0</x:v>
      </x:c>
      <x:c r="J4" s="4" t="b">
        <x:v>0</x:v>
      </x:c>
      <x:c r="K4" s="3" t="s">
        <x:v>136</x:v>
      </x:c>
      <x:c r="L4" s="3" t="s">
        <x:v>144</x:v>
      </x:c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" t="s">
        <x:v>145</x:v>
      </x:c>
      <x:c r="B5" s="3" t="s">
        <x:v>146</x:v>
      </x:c>
      <x:c r="C5" s="3"/>
      <x:c r="D5" s="3"/>
      <x:c r="E5" s="3"/>
      <x:c r="F5" s="3"/>
      <x:c r="G5" s="3"/>
      <x:c r="H5" s="3"/>
      <x:c r="I5" s="4" t="b">
        <x:v>0</x:v>
      </x:c>
      <x:c r="J5" s="4" t="b">
        <x:v>0</x:v>
      </x:c>
      <x:c r="K5" s="3" t="s">
        <x:v>136</x:v>
      </x:c>
      <x:c r="L5" s="3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" t="s">
        <x:v>147</x:v>
      </x:c>
      <x:c r="B6" s="3" t="s">
        <x:v>148</x:v>
      </x:c>
      <x:c r="C6" s="3"/>
      <x:c r="D6" s="3"/>
      <x:c r="E6" s="3"/>
      <x:c r="F6" s="3"/>
      <x:c r="G6" s="3"/>
      <x:c r="H6" s="3"/>
      <x:c r="I6" s="4" t="b">
        <x:v>0</x:v>
      </x:c>
      <x:c r="J6" s="4" t="b">
        <x:v>0</x:v>
      </x:c>
      <x:c r="K6" s="3" t="s">
        <x:v>136</x:v>
      </x:c>
      <x:c r="L6" s="3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dataValidations count="6">
    <x:dataValidation type="list" sqref="B2:B100">
      <x:formula1>"Round of 32,Round of 16,Quarterfinal,Semifinal,Final"</x:formula1>
    </x:dataValidation>
    <x:dataValidation type="list" sqref="K2:K100">
      <x:formula1>"Not Started,Final,In Progress,Postponed"</x:formula1>
    </x:dataValidation>
    <x:dataValidation type="list" sqref="B2:B200">
      <x:formula1>"Round of 32,Round of 16,Quarterfinal,Semifinal,Final"</x:formula1>
    </x:dataValidation>
    <x:dataValidation type="list" sqref="F2:F200">
      <x:formula1>"Team_A,Team_B"</x:formula1>
    </x:dataValidation>
    <x:dataValidation type="list" sqref="I2:J200">
      <x:formula1>"TRUE,FALSE"</x:formula1>
    </x:dataValidation>
    <x:dataValidation type="list" sqref="K2:K200">
      <x:formula1>"Not Started,Final"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3.800000190734863"/>
  <x:cols>
    <x:col min="1" max="1" width="9.960000038146973" hidden="0" customWidth="1"/>
    <x:col min="18" max="18" width="14.270000457763672" hidden="0" customWidth="1"/>
    <x:col min="19" max="19" width="5.519999980926514" hidden="0" customWidth="1"/>
    <x:col min="2" max="2" width="13.1899995803833" hidden="0" customWidth="1"/>
    <x:col min="3" max="3" width="7.940000057220459" hidden="0" customWidth="1"/>
    <x:col min="4" max="4" width="11.84000015258789" hidden="0" customWidth="1"/>
    <x:col min="5" max="5" width="10.359999656677246" hidden="0" customWidth="1"/>
    <x:col min="6" max="6" width="11.84000015258789" hidden="0" customWidth="1"/>
    <x:col min="7" max="7" width="11.84000015258789" hidden="0" customWidth="1"/>
    <x:col min="8" max="8" width="7.130000114440918" hidden="0" customWidth="1"/>
    <x:col min="9" max="9" width="7.130000114440918" hidden="0" customWidth="1"/>
    <x:col min="10" max="10" width="9.149999618530273" hidden="0" customWidth="1"/>
    <x:col min="11" max="11" width="7.400000095367432" hidden="0" customWidth="1"/>
    <x:col min="12" max="12" width="9.5600004196167" hidden="0" customWidth="1"/>
    <x:col min="13" max="13" width="13.1899995803833" hidden="0" customWidth="1"/>
    <x:col min="14" max="14" width="8.609999656677246" hidden="0" customWidth="1"/>
    <x:col min="15" max="15" width="5.380000114440918" hidden="0" customWidth="1"/>
    <x:col min="16" max="16" width="7.269999980926514" hidden="0" customWidth="1"/>
    <x:col min="17" max="17" width="9.960000038146973" hidden="0" customWidth="1"/>
  </x:cols>
  <x:sheetData>
    <x:row r="1" ht="22.350000381469727" customHeight="1">
      <x:c r="A1" s="40" t="s">
        <x:v>0</x:v>
      </x:c>
      <x:c r="B1" s="40" t="s">
        <x:v>1</x:v>
      </x:c>
      <x:c r="C1" s="40" t="s">
        <x:v>30</x:v>
      </x:c>
      <x:c r="D1" s="40" t="s">
        <x:v>127</x:v>
      </x:c>
      <x:c r="E1" s="40" t="s">
        <x:v>149</x:v>
      </x:c>
      <x:c r="F1" s="40" t="s">
        <x:v>150</x:v>
      </x:c>
      <x:c r="G1" s="40" t="s">
        <x:v>151</x:v>
      </x:c>
      <x:c r="H1" s="40" t="s">
        <x:v>152</x:v>
      </x:c>
      <x:c r="I1" s="40" t="s">
        <x:v>153</x:v>
      </x:c>
      <x:c r="J1" s="40" t="s">
        <x:v>154</x:v>
      </x:c>
      <x:c r="K1" s="40" t="s">
        <x:v>155</x:v>
      </x:c>
      <x:c r="L1" s="40" t="s">
        <x:v>156</x:v>
      </x:c>
      <x:c r="M1" s="40" t="s">
        <x:v>157</x:v>
      </x:c>
      <x:c r="N1" s="40" t="s">
        <x:v>158</x:v>
      </x:c>
      <x:c r="O1" s="40" t="s">
        <x:v>159</x:v>
      </x:c>
      <x:c r="P1" s="40" t="s">
        <x:v>160</x:v>
      </x:c>
      <x:c r="Q1" s="40" t="s">
        <x:v>161</x:v>
      </x:c>
      <x:c r="R1" s="40" t="s">
        <x:v>120</x:v>
      </x:c>
      <x:c r="S1" s="40" t="s">
        <x:v>121</x:v>
      </x:c>
      <x:c r="T1" s="40"/>
      <x:c r="U1" s="40"/>
      <x:c r="V1" s="40"/>
      <x:c r="W1" s="40"/>
      <x:c r="X1" s="40"/>
      <x:c r="Y1" s="40"/>
      <x:c r="Z1" s="40"/>
    </x:row>
    <x:row r="2">
      <x:c r="A2" s="3" t="s">
        <x:v>6</x:v>
      </x:c>
      <x:c r="B2" s="3" t="str">
        <x:f>IFERROR(INDEX(Managers!$B:$B,MATCH(A2,Managers!$A:$A,0)),"")</x:f>
        <x:v>Manager 1</x:v>
      </x:c>
      <x:c r="C2" s="3" t="s">
        <x:v>134</x:v>
      </x:c>
      <x:c r="D2" s="3" t="s">
        <x:v>135</x:v>
      </x:c>
      <x:c r="E2" s="3"/>
      <x:c r="F2" s="3"/>
      <x:c r="G2" s="3"/>
      <x:c r="H2" s="3"/>
      <x:c r="I2" s="3"/>
      <x:c r="J2" s="4" t="b">
        <x:v>0</x:v>
      </x:c>
      <x:c r="K2" s="4" t="b">
        <x:v>0</x:v>
      </x:c>
      <x:c r="L2" s="3" t="n">
        <x:f>IF(E2="",0,IF(E2=IFERROR(INDEX(Matches_2!$F:$F,MATCH(C2,Matches_2!$A:$A,0)),""),IF(OR(D2="Round of 32",D2="Round of 16"),3,5),0))</x:f>
        <x:v>0</x:v>
      </x:c>
      <x:c r="M2" s="3" t="n">
        <x:f>IF(OR(D2="Round of 32",D2="Round of 16"),0,IF(E2="",0,IF(AND(F2&lt;&gt;"",G2&lt;&gt;"",F2=IFERROR(INDEX(Matches_2!$G:$G,MATCH(C2,Matches_2!$A:$A,0)),""),G2=IFERROR(INDEX(Matches_2!$H:$H,MATCH(C2,Matches_2!$A:$A,0)),"")),8,0)))</x:f>
        <x:v>0</x:v>
      </x:c>
      <x:c r="N2" s="3">
        <x:v>0</x:v>
      </x:c>
      <x:c r="O2" s="3" t="n">
        <x:f>IF(OR(D2="Round of 32",D2="Round of 16"),0,IF(E2="",0,IF(J2=IFERROR(INDEX(Matches_2!$I:$I,MATCH(C2,Matches_2!$A:$A,0)),""),3,0)))</x:f>
        <x:v>0</x:v>
      </x:c>
      <x:c r="P2" s="3" t="n">
        <x:f>IF(OR(D2="Round of 32",D2="Round of 16"),0,IF(E2="",0,IF(K2=IFERROR(INDEX(Matches_2!$J:$J,MATCH(C2,Matches_2!$A:$A,0)),""),4,0)))</x:f>
        <x:v>0</x:v>
      </x:c>
      <x:c r="Q2" s="3" t="n">
        <x:f t="shared" ref="Q2:Q31" si="0">SUM(L2:P2)</x:f>
        <x:v>0</x:v>
      </x:c>
      <x:c r="R2" s="3"/>
      <x:c r="S2" s="4" t="b">
        <x:v>0</x:v>
      </x:c>
      <x:c r="T2" s="2"/>
      <x:c r="U2" s="2"/>
      <x:c r="V2" s="2"/>
      <x:c r="W2" s="2"/>
      <x:c r="X2" s="2"/>
      <x:c r="Y2" s="2"/>
      <x:c r="Z2" s="2"/>
    </x:row>
    <x:row r="3">
      <x:c r="A3" s="3" t="s">
        <x:v>6</x:v>
      </x:c>
      <x:c r="B3" s="3" t="str">
        <x:f>IFERROR(INDEX(Managers!$B:$B,MATCH(A3,Managers!$A:$A,0)),"")</x:f>
        <x:v>Manager 1</x:v>
      </x:c>
      <x:c r="C3" s="3" t="s">
        <x:v>138</x:v>
      </x:c>
      <x:c r="D3" s="3" t="s">
        <x:v>139</x:v>
      </x:c>
      <x:c r="E3" s="3"/>
      <x:c r="F3" s="3"/>
      <x:c r="G3" s="3"/>
      <x:c r="H3" s="3"/>
      <x:c r="I3" s="3"/>
      <x:c r="J3" s="4" t="b">
        <x:v>0</x:v>
      </x:c>
      <x:c r="K3" s="4" t="b">
        <x:v>0</x:v>
      </x:c>
      <x:c r="L3" s="3" t="n">
        <x:f>IF(E3="",0,IF(E3=IFERROR(INDEX(Matches_2!$F:$F,MATCH(C3,Matches_2!$A:$A,0)),""),IF(OR(D3="Round of 32",D3="Round of 16"),3,5),0))</x:f>
        <x:v>0</x:v>
      </x:c>
      <x:c r="M3" s="3" t="n">
        <x:f>IF(OR(D3="Round of 32",D3="Round of 16"),0,IF(E3="",0,IF(AND(F3&lt;&gt;"",G3&lt;&gt;"",F3=IFERROR(INDEX(Matches_2!$G:$G,MATCH(C3,Matches_2!$A:$A,0)),""),G3=IFERROR(INDEX(Matches_2!$H:$H,MATCH(C3,Matches_2!$A:$A,0)),"")),8,0)))</x:f>
        <x:v>0</x:v>
      </x:c>
      <x:c r="N3" s="3">
        <x:v>0</x:v>
      </x:c>
      <x:c r="O3" s="3" t="n">
        <x:f>IF(OR(D3="Round of 32",D3="Round of 16"),0,IF(E3="",0,IF(J3=IFERROR(INDEX(Matches_2!$I:$I,MATCH(C3,Matches_2!$A:$A,0)),""),3,0)))</x:f>
        <x:v>0</x:v>
      </x:c>
      <x:c r="P3" s="3" t="n">
        <x:f>IF(OR(D3="Round of 32",D3="Round of 16"),0,IF(E3="",0,IF(K3=IFERROR(INDEX(Matches_2!$J:$J,MATCH(C3,Matches_2!$A:$A,0)),""),4,0)))</x:f>
        <x:v>0</x:v>
      </x:c>
      <x:c r="Q3" s="3" t="n">
        <x:f t="shared" si="0">SUM(L3:P3)</x:f>
        <x:v>0</x:v>
      </x:c>
      <x:c r="R3" s="3"/>
      <x:c r="S3" s="4" t="b">
        <x:v>0</x:v>
      </x:c>
      <x:c r="T3" s="2"/>
      <x:c r="U3" s="2"/>
      <x:c r="V3" s="2"/>
      <x:c r="W3" s="2"/>
      <x:c r="X3" s="2"/>
      <x:c r="Y3" s="2"/>
      <x:c r="Z3" s="2"/>
    </x:row>
    <x:row r="4">
      <x:c r="A4" s="3" t="s">
        <x:v>6</x:v>
      </x:c>
      <x:c r="B4" s="3" t="str">
        <x:f>IFERROR(INDEX(Managers!$B:$B,MATCH(A4,Managers!$A:$A,0)),"")</x:f>
        <x:v>Manager 1</x:v>
      </x:c>
      <x:c r="C4" s="3" t="s">
        <x:v>142</x:v>
      </x:c>
      <x:c r="D4" s="3" t="s">
        <x:v>143</x:v>
      </x:c>
      <x:c r="E4" s="3"/>
      <x:c r="F4" s="3"/>
      <x:c r="G4" s="3"/>
      <x:c r="H4" s="3"/>
      <x:c r="I4" s="3"/>
      <x:c r="J4" s="4" t="b">
        <x:v>0</x:v>
      </x:c>
      <x:c r="K4" s="4" t="b">
        <x:v>0</x:v>
      </x:c>
      <x:c r="L4" s="3" t="n">
        <x:f>IF(E4="",0,IF(E4=IFERROR(INDEX(Matches_2!$F:$F,MATCH(C4,Matches_2!$A:$A,0)),""),IF(OR(D4="Round of 32",D4="Round of 16"),3,5),0))</x:f>
        <x:v>0</x:v>
      </x:c>
      <x:c r="M4" s="3" t="n">
        <x:f>IF(OR(D4="Round of 32",D4="Round of 16"),0,IF(E4="",0,IF(AND(F4&lt;&gt;"",G4&lt;&gt;"",F4=IFERROR(INDEX(Matches_2!$G:$G,MATCH(C4,Matches_2!$A:$A,0)),""),G4=IFERROR(INDEX(Matches_2!$H:$H,MATCH(C4,Matches_2!$A:$A,0)),"")),8,0)))</x:f>
        <x:v>0</x:v>
      </x:c>
      <x:c r="N4" s="3">
        <x:v>0</x:v>
      </x:c>
      <x:c r="O4" s="3" t="n">
        <x:f>IF(OR(D4="Round of 32",D4="Round of 16"),0,IF(E4="",0,IF(J4=IFERROR(INDEX(Matches_2!$I:$I,MATCH(C4,Matches_2!$A:$A,0)),""),3,0)))</x:f>
        <x:v>0</x:v>
      </x:c>
      <x:c r="P4" s="3" t="n">
        <x:f>IF(OR(D4="Round of 32",D4="Round of 16"),0,IF(E4="",0,IF(K4=IFERROR(INDEX(Matches_2!$J:$J,MATCH(C4,Matches_2!$A:$A,0)),""),4,0)))</x:f>
        <x:v>0</x:v>
      </x:c>
      <x:c r="Q4" s="3" t="n">
        <x:f t="shared" si="0">SUM(L4:P4)</x:f>
        <x:v>0</x:v>
      </x:c>
      <x:c r="R4" s="3"/>
      <x:c r="S4" s="4" t="b">
        <x:v>0</x:v>
      </x:c>
      <x:c r="T4" s="2"/>
      <x:c r="U4" s="2"/>
      <x:c r="V4" s="2"/>
      <x:c r="W4" s="2"/>
      <x:c r="X4" s="2"/>
      <x:c r="Y4" s="2"/>
      <x:c r="Z4" s="2"/>
    </x:row>
    <x:row r="5">
      <x:c r="A5" s="3" t="s">
        <x:v>6</x:v>
      </x:c>
      <x:c r="B5" s="3" t="str">
        <x:f>IFERROR(INDEX(Managers!$B:$B,MATCH(A5,Managers!$A:$A,0)),"")</x:f>
        <x:v>Manager 1</x:v>
      </x:c>
      <x:c r="C5" s="3" t="s">
        <x:v>145</x:v>
      </x:c>
      <x:c r="D5" s="3" t="s">
        <x:v>146</x:v>
      </x:c>
      <x:c r="E5" s="3"/>
      <x:c r="F5" s="3"/>
      <x:c r="G5" s="3"/>
      <x:c r="H5" s="3"/>
      <x:c r="I5" s="3"/>
      <x:c r="J5" s="4" t="b">
        <x:v>0</x:v>
      </x:c>
      <x:c r="K5" s="4" t="b">
        <x:v>0</x:v>
      </x:c>
      <x:c r="L5" s="3" t="n">
        <x:f>IF(E5="",0,IF(E5=IFERROR(INDEX(Matches_2!$F:$F,MATCH(C5,Matches_2!$A:$A,0)),""),IF(OR(D5="Round of 32",D5="Round of 16"),3,5),0))</x:f>
        <x:v>0</x:v>
      </x:c>
      <x:c r="M5" s="3" t="n">
        <x:f>IF(OR(D5="Round of 32",D5="Round of 16"),0,IF(E5="",0,IF(AND(F5&lt;&gt;"",G5&lt;&gt;"",F5=IFERROR(INDEX(Matches_2!$G:$G,MATCH(C5,Matches_2!$A:$A,0)),""),G5=IFERROR(INDEX(Matches_2!$H:$H,MATCH(C5,Matches_2!$A:$A,0)),"")),8,0)))</x:f>
        <x:v>0</x:v>
      </x:c>
      <x:c r="N5" s="3">
        <x:v>0</x:v>
      </x:c>
      <x:c r="O5" s="3" t="n">
        <x:f>IF(OR(D5="Round of 32",D5="Round of 16"),0,IF(E5="",0,IF(J5=IFERROR(INDEX(Matches_2!$I:$I,MATCH(C5,Matches_2!$A:$A,0)),""),3,0)))</x:f>
        <x:v>0</x:v>
      </x:c>
      <x:c r="P5" s="3" t="n">
        <x:f>IF(OR(D5="Round of 32",D5="Round of 16"),0,IF(E5="",0,IF(K5=IFERROR(INDEX(Matches_2!$J:$J,MATCH(C5,Matches_2!$A:$A,0)),""),4,0)))</x:f>
        <x:v>0</x:v>
      </x:c>
      <x:c r="Q5" s="3" t="n">
        <x:f t="shared" si="0">SUM(L5:P5)</x:f>
        <x:v>0</x:v>
      </x:c>
      <x:c r="R5" s="3"/>
      <x:c r="S5" s="4" t="b">
        <x:v>0</x:v>
      </x:c>
      <x:c r="T5" s="2"/>
      <x:c r="U5" s="2"/>
      <x:c r="V5" s="2"/>
      <x:c r="W5" s="2"/>
      <x:c r="X5" s="2"/>
      <x:c r="Y5" s="2"/>
      <x:c r="Z5" s="2"/>
    </x:row>
    <x:row r="6">
      <x:c r="A6" s="3" t="s">
        <x:v>6</x:v>
      </x:c>
      <x:c r="B6" s="3" t="str">
        <x:f>IFERROR(INDEX(Managers!$B:$B,MATCH(A6,Managers!$A:$A,0)),"")</x:f>
        <x:v>Manager 1</x:v>
      </x:c>
      <x:c r="C6" s="3" t="s">
        <x:v>147</x:v>
      </x:c>
      <x:c r="D6" s="3" t="s">
        <x:v>148</x:v>
      </x:c>
      <x:c r="E6" s="3"/>
      <x:c r="F6" s="3"/>
      <x:c r="G6" s="3"/>
      <x:c r="H6" s="3"/>
      <x:c r="I6" s="3"/>
      <x:c r="J6" s="4" t="b">
        <x:v>0</x:v>
      </x:c>
      <x:c r="K6" s="4" t="b">
        <x:v>0</x:v>
      </x:c>
      <x:c r="L6" s="3" t="n">
        <x:f>IF(E6="",0,IF(E6=IFERROR(INDEX(Matches_2!$F:$F,MATCH(C6,Matches_2!$A:$A,0)),""),IF(OR(D6="Round of 32",D6="Round of 16"),3,5),0))</x:f>
        <x:v>0</x:v>
      </x:c>
      <x:c r="M6" s="3" t="n">
        <x:f>IF(OR(D6="Round of 32",D6="Round of 16"),0,IF(E6="",0,IF(AND(F6&lt;&gt;"",G6&lt;&gt;"",F6=IFERROR(INDEX(Matches_2!$G:$G,MATCH(C6,Matches_2!$A:$A,0)),""),G6=IFERROR(INDEX(Matches_2!$H:$H,MATCH(C6,Matches_2!$A:$A,0)),"")),8,0)))</x:f>
        <x:v>0</x:v>
      </x:c>
      <x:c r="N6" s="3">
        <x:v>0</x:v>
      </x:c>
      <x:c r="O6" s="3" t="n">
        <x:f>IF(OR(D6="Round of 32",D6="Round of 16"),0,IF(E6="",0,IF(J6=IFERROR(INDEX(Matches_2!$I:$I,MATCH(C6,Matches_2!$A:$A,0)),""),3,0)))</x:f>
        <x:v>0</x:v>
      </x:c>
      <x:c r="P6" s="3" t="n">
        <x:f>IF(OR(D6="Round of 32",D6="Round of 16"),0,IF(E6="",0,IF(K6=IFERROR(INDEX(Matches_2!$J:$J,MATCH(C6,Matches_2!$A:$A,0)),""),4,0)))</x:f>
        <x:v>0</x:v>
      </x:c>
      <x:c r="Q6" s="3" t="n">
        <x:f t="shared" si="0">SUM(L6:P6)</x:f>
        <x:v>0</x:v>
      </x:c>
      <x:c r="R6" s="3"/>
      <x:c r="S6" s="4" t="b">
        <x:v>0</x:v>
      </x:c>
      <x:c r="T6" s="2"/>
      <x:c r="U6" s="2"/>
      <x:c r="V6" s="2"/>
      <x:c r="W6" s="2"/>
      <x:c r="X6" s="2"/>
      <x:c r="Y6" s="2"/>
      <x:c r="Z6" s="2"/>
    </x:row>
    <x:row r="7">
      <x:c r="A7" s="3" t="s">
        <x:v>10</x:v>
      </x:c>
      <x:c r="B7" s="3" t="str">
        <x:f>IFERROR(INDEX(Managers!$B:$B,MATCH(A7,Managers!$A:$A,0)),"")</x:f>
        <x:v>Manager 2</x:v>
      </x:c>
      <x:c r="C7" s="3" t="s">
        <x:v>134</x:v>
      </x:c>
      <x:c r="D7" s="3" t="s">
        <x:v>135</x:v>
      </x:c>
      <x:c r="E7" s="3"/>
      <x:c r="F7" s="3"/>
      <x:c r="G7" s="3"/>
      <x:c r="H7" s="3"/>
      <x:c r="I7" s="3"/>
      <x:c r="J7" s="4" t="b">
        <x:v>0</x:v>
      </x:c>
      <x:c r="K7" s="4" t="b">
        <x:v>0</x:v>
      </x:c>
      <x:c r="L7" s="3" t="n">
        <x:f>IF(E7="",0,IF(E7=IFERROR(INDEX(Matches_2!$F:$F,MATCH(C7,Matches_2!$A:$A,0)),""),IF(OR(D7="Round of 32",D7="Round of 16"),3,5),0))</x:f>
        <x:v>0</x:v>
      </x:c>
      <x:c r="M7" s="3" t="n">
        <x:f>IF(OR(D7="Round of 32",D7="Round of 16"),0,IF(E7="",0,IF(AND(F7&lt;&gt;"",G7&lt;&gt;"",F7=IFERROR(INDEX(Matches_2!$G:$G,MATCH(C7,Matches_2!$A:$A,0)),""),G7=IFERROR(INDEX(Matches_2!$H:$H,MATCH(C7,Matches_2!$A:$A,0)),"")),8,0)))</x:f>
        <x:v>0</x:v>
      </x:c>
      <x:c r="N7" s="3">
        <x:v>0</x:v>
      </x:c>
      <x:c r="O7" s="3" t="n">
        <x:f>IF(OR(D7="Round of 32",D7="Round of 16"),0,IF(E7="",0,IF(J7=IFERROR(INDEX(Matches_2!$I:$I,MATCH(C7,Matches_2!$A:$A,0)),""),3,0)))</x:f>
        <x:v>0</x:v>
      </x:c>
      <x:c r="P7" s="3" t="n">
        <x:f>IF(OR(D7="Round of 32",D7="Round of 16"),0,IF(E7="",0,IF(K7=IFERROR(INDEX(Matches_2!$J:$J,MATCH(C7,Matches_2!$A:$A,0)),""),4,0)))</x:f>
        <x:v>0</x:v>
      </x:c>
      <x:c r="Q7" s="3" t="n">
        <x:f t="shared" si="0">SUM(L7:P7)</x:f>
        <x:v>0</x:v>
      </x:c>
      <x:c r="R7" s="3"/>
      <x:c r="S7" s="4" t="b">
        <x:v>0</x:v>
      </x:c>
      <x:c r="T7" s="2"/>
      <x:c r="U7" s="2"/>
      <x:c r="V7" s="2"/>
      <x:c r="W7" s="2"/>
      <x:c r="X7" s="2"/>
      <x:c r="Y7" s="2"/>
      <x:c r="Z7" s="2"/>
    </x:row>
    <x:row r="8">
      <x:c r="A8" s="3" t="s">
        <x:v>10</x:v>
      </x:c>
      <x:c r="B8" s="3" t="str">
        <x:f>IFERROR(INDEX(Managers!$B:$B,MATCH(A8,Managers!$A:$A,0)),"")</x:f>
        <x:v>Manager 2</x:v>
      </x:c>
      <x:c r="C8" s="3" t="s">
        <x:v>138</x:v>
      </x:c>
      <x:c r="D8" s="3" t="s">
        <x:v>139</x:v>
      </x:c>
      <x:c r="E8" s="3"/>
      <x:c r="F8" s="3"/>
      <x:c r="G8" s="3"/>
      <x:c r="H8" s="3"/>
      <x:c r="I8" s="3"/>
      <x:c r="J8" s="4" t="b">
        <x:v>0</x:v>
      </x:c>
      <x:c r="K8" s="4" t="b">
        <x:v>0</x:v>
      </x:c>
      <x:c r="L8" s="3" t="n">
        <x:f>IF(E8="",0,IF(E8=IFERROR(INDEX(Matches_2!$F:$F,MATCH(C8,Matches_2!$A:$A,0)),""),IF(OR(D8="Round of 32",D8="Round of 16"),3,5),0))</x:f>
        <x:v>0</x:v>
      </x:c>
      <x:c r="M8" s="3" t="n">
        <x:f>IF(OR(D8="Round of 32",D8="Round of 16"),0,IF(E8="",0,IF(AND(F8&lt;&gt;"",G8&lt;&gt;"",F8=IFERROR(INDEX(Matches_2!$G:$G,MATCH(C8,Matches_2!$A:$A,0)),""),G8=IFERROR(INDEX(Matches_2!$H:$H,MATCH(C8,Matches_2!$A:$A,0)),"")),8,0)))</x:f>
        <x:v>0</x:v>
      </x:c>
      <x:c r="N8" s="3">
        <x:v>0</x:v>
      </x:c>
      <x:c r="O8" s="3" t="n">
        <x:f>IF(OR(D8="Round of 32",D8="Round of 16"),0,IF(E8="",0,IF(J8=IFERROR(INDEX(Matches_2!$I:$I,MATCH(C8,Matches_2!$A:$A,0)),""),3,0)))</x:f>
        <x:v>0</x:v>
      </x:c>
      <x:c r="P8" s="3" t="n">
        <x:f>IF(OR(D8="Round of 32",D8="Round of 16"),0,IF(E8="",0,IF(K8=IFERROR(INDEX(Matches_2!$J:$J,MATCH(C8,Matches_2!$A:$A,0)),""),4,0)))</x:f>
        <x:v>0</x:v>
      </x:c>
      <x:c r="Q8" s="3" t="n">
        <x:f t="shared" si="0">SUM(L8:P8)</x:f>
        <x:v>0</x:v>
      </x:c>
      <x:c r="R8" s="3"/>
      <x:c r="S8" s="4" t="b">
        <x:v>0</x:v>
      </x:c>
      <x:c r="T8" s="2"/>
      <x:c r="U8" s="2"/>
      <x:c r="V8" s="2"/>
      <x:c r="W8" s="2"/>
      <x:c r="X8" s="2"/>
      <x:c r="Y8" s="2"/>
      <x:c r="Z8" s="2"/>
    </x:row>
    <x:row r="9">
      <x:c r="A9" s="3" t="s">
        <x:v>10</x:v>
      </x:c>
      <x:c r="B9" s="3" t="str">
        <x:f>IFERROR(INDEX(Managers!$B:$B,MATCH(A9,Managers!$A:$A,0)),"")</x:f>
        <x:v>Manager 2</x:v>
      </x:c>
      <x:c r="C9" s="3" t="s">
        <x:v>142</x:v>
      </x:c>
      <x:c r="D9" s="3" t="s">
        <x:v>143</x:v>
      </x:c>
      <x:c r="E9" s="3"/>
      <x:c r="F9" s="3"/>
      <x:c r="G9" s="3"/>
      <x:c r="H9" s="3"/>
      <x:c r="I9" s="3"/>
      <x:c r="J9" s="4" t="b">
        <x:v>0</x:v>
      </x:c>
      <x:c r="K9" s="4" t="b">
        <x:v>0</x:v>
      </x:c>
      <x:c r="L9" s="3" t="n">
        <x:f>IF(E9="",0,IF(E9=IFERROR(INDEX(Matches_2!$F:$F,MATCH(C9,Matches_2!$A:$A,0)),""),IF(OR(D9="Round of 32",D9="Round of 16"),3,5),0))</x:f>
        <x:v>0</x:v>
      </x:c>
      <x:c r="M9" s="3" t="n">
        <x:f>IF(OR(D9="Round of 32",D9="Round of 16"),0,IF(E9="",0,IF(AND(F9&lt;&gt;"",G9&lt;&gt;"",F9=IFERROR(INDEX(Matches_2!$G:$G,MATCH(C9,Matches_2!$A:$A,0)),""),G9=IFERROR(INDEX(Matches_2!$H:$H,MATCH(C9,Matches_2!$A:$A,0)),"")),8,0)))</x:f>
        <x:v>0</x:v>
      </x:c>
      <x:c r="N9" s="3">
        <x:v>0</x:v>
      </x:c>
      <x:c r="O9" s="3" t="n">
        <x:f>IF(OR(D9="Round of 32",D9="Round of 16"),0,IF(E9="",0,IF(J9=IFERROR(INDEX(Matches_2!$I:$I,MATCH(C9,Matches_2!$A:$A,0)),""),3,0)))</x:f>
        <x:v>0</x:v>
      </x:c>
      <x:c r="P9" s="3" t="n">
        <x:f>IF(OR(D9="Round of 32",D9="Round of 16"),0,IF(E9="",0,IF(K9=IFERROR(INDEX(Matches_2!$J:$J,MATCH(C9,Matches_2!$A:$A,0)),""),4,0)))</x:f>
        <x:v>0</x:v>
      </x:c>
      <x:c r="Q9" s="3" t="n">
        <x:f t="shared" si="0">SUM(L9:P9)</x:f>
        <x:v>0</x:v>
      </x:c>
      <x:c r="R9" s="3"/>
      <x:c r="S9" s="4" t="b">
        <x:v>0</x:v>
      </x:c>
      <x:c r="T9" s="2"/>
      <x:c r="U9" s="2"/>
      <x:c r="V9" s="2"/>
      <x:c r="W9" s="2"/>
      <x:c r="X9" s="2"/>
      <x:c r="Y9" s="2"/>
      <x:c r="Z9" s="2"/>
    </x:row>
    <x:row r="10">
      <x:c r="A10" s="3" t="s">
        <x:v>10</x:v>
      </x:c>
      <x:c r="B10" s="3" t="str">
        <x:f>IFERROR(INDEX(Managers!$B:$B,MATCH(A10,Managers!$A:$A,0)),"")</x:f>
        <x:v>Manager 2</x:v>
      </x:c>
      <x:c r="C10" s="3" t="s">
        <x:v>145</x:v>
      </x:c>
      <x:c r="D10" s="3" t="s">
        <x:v>146</x:v>
      </x:c>
      <x:c r="E10" s="3"/>
      <x:c r="F10" s="3"/>
      <x:c r="G10" s="3"/>
      <x:c r="H10" s="3"/>
      <x:c r="I10" s="3"/>
      <x:c r="J10" s="4" t="b">
        <x:v>0</x:v>
      </x:c>
      <x:c r="K10" s="4" t="b">
        <x:v>0</x:v>
      </x:c>
      <x:c r="L10" s="3" t="n">
        <x:f>IF(E10="",0,IF(E10=IFERROR(INDEX(Matches_2!$F:$F,MATCH(C10,Matches_2!$A:$A,0)),""),IF(OR(D10="Round of 32",D10="Round of 16"),3,5),0))</x:f>
        <x:v>0</x:v>
      </x:c>
      <x:c r="M10" s="3" t="n">
        <x:f>IF(OR(D10="Round of 32",D10="Round of 16"),0,IF(E10="",0,IF(AND(F10&lt;&gt;"",G10&lt;&gt;"",F10=IFERROR(INDEX(Matches_2!$G:$G,MATCH(C10,Matches_2!$A:$A,0)),""),G10=IFERROR(INDEX(Matches_2!$H:$H,MATCH(C10,Matches_2!$A:$A,0)),"")),8,0)))</x:f>
        <x:v>0</x:v>
      </x:c>
      <x:c r="N10" s="3">
        <x:v>0</x:v>
      </x:c>
      <x:c r="O10" s="3" t="n">
        <x:f>IF(OR(D10="Round of 32",D10="Round of 16"),0,IF(E10="",0,IF(J10=IFERROR(INDEX(Matches_2!$I:$I,MATCH(C10,Matches_2!$A:$A,0)),""),3,0)))</x:f>
        <x:v>0</x:v>
      </x:c>
      <x:c r="P10" s="3" t="n">
        <x:f>IF(OR(D10="Round of 32",D10="Round of 16"),0,IF(E10="",0,IF(K10=IFERROR(INDEX(Matches_2!$J:$J,MATCH(C10,Matches_2!$A:$A,0)),""),4,0)))</x:f>
        <x:v>0</x:v>
      </x:c>
      <x:c r="Q10" s="3" t="n">
        <x:f t="shared" si="0">SUM(L10:P10)</x:f>
        <x:v>0</x:v>
      </x:c>
      <x:c r="R10" s="3"/>
      <x:c r="S10" s="4" t="b">
        <x:v>0</x:v>
      </x:c>
      <x:c r="T10" s="2"/>
      <x:c r="U10" s="2"/>
      <x:c r="V10" s="2"/>
      <x:c r="W10" s="2"/>
      <x:c r="X10" s="2"/>
      <x:c r="Y10" s="2"/>
      <x:c r="Z10" s="2"/>
    </x:row>
    <x:row r="11">
      <x:c r="A11" s="3" t="s">
        <x:v>10</x:v>
      </x:c>
      <x:c r="B11" s="3" t="str">
        <x:f>IFERROR(INDEX(Managers!$B:$B,MATCH(A11,Managers!$A:$A,0)),"")</x:f>
        <x:v>Manager 2</x:v>
      </x:c>
      <x:c r="C11" s="3" t="s">
        <x:v>147</x:v>
      </x:c>
      <x:c r="D11" s="3" t="s">
        <x:v>148</x:v>
      </x:c>
      <x:c r="E11" s="3"/>
      <x:c r="F11" s="3"/>
      <x:c r="G11" s="3"/>
      <x:c r="H11" s="3"/>
      <x:c r="I11" s="3"/>
      <x:c r="J11" s="4" t="b">
        <x:v>0</x:v>
      </x:c>
      <x:c r="K11" s="4" t="b">
        <x:v>0</x:v>
      </x:c>
      <x:c r="L11" s="3" t="n">
        <x:f>IF(E11="",0,IF(E11=IFERROR(INDEX(Matches_2!$F:$F,MATCH(C11,Matches_2!$A:$A,0)),""),IF(OR(D11="Round of 32",D11="Round of 16"),3,5),0))</x:f>
        <x:v>0</x:v>
      </x:c>
      <x:c r="M11" s="3" t="n">
        <x:f>IF(OR(D11="Round of 32",D11="Round of 16"),0,IF(E11="",0,IF(AND(F11&lt;&gt;"",G11&lt;&gt;"",F11=IFERROR(INDEX(Matches_2!$G:$G,MATCH(C11,Matches_2!$A:$A,0)),""),G11=IFERROR(INDEX(Matches_2!$H:$H,MATCH(C11,Matches_2!$A:$A,0)),"")),8,0)))</x:f>
        <x:v>0</x:v>
      </x:c>
      <x:c r="N11" s="3">
        <x:v>0</x:v>
      </x:c>
      <x:c r="O11" s="3" t="n">
        <x:f>IF(OR(D11="Round of 32",D11="Round of 16"),0,IF(E11="",0,IF(J11=IFERROR(INDEX(Matches_2!$I:$I,MATCH(C11,Matches_2!$A:$A,0)),""),3,0)))</x:f>
        <x:v>0</x:v>
      </x:c>
      <x:c r="P11" s="3" t="n">
        <x:f>IF(OR(D11="Round of 32",D11="Round of 16"),0,IF(E11="",0,IF(K11=IFERROR(INDEX(Matches_2!$J:$J,MATCH(C11,Matches_2!$A:$A,0)),""),4,0)))</x:f>
        <x:v>0</x:v>
      </x:c>
      <x:c r="Q11" s="3" t="n">
        <x:f t="shared" si="0">SUM(L11:P11)</x:f>
        <x:v>0</x:v>
      </x:c>
      <x:c r="R11" s="3"/>
      <x:c r="S11" s="4" t="b">
        <x:v>0</x:v>
      </x:c>
      <x:c r="T11" s="2"/>
      <x:c r="U11" s="2"/>
      <x:c r="V11" s="2"/>
      <x:c r="W11" s="2"/>
      <x:c r="X11" s="2"/>
      <x:c r="Y11" s="2"/>
      <x:c r="Z11" s="2"/>
    </x:row>
    <x:row r="12">
      <x:c r="A12" s="3" t="s">
        <x:v>14</x:v>
      </x:c>
      <x:c r="B12" s="3" t="str">
        <x:f>IFERROR(INDEX(Managers!$B:$B,MATCH(A12,Managers!$A:$A,0)),"")</x:f>
        <x:v>Manager 3</x:v>
      </x:c>
      <x:c r="C12" s="3" t="s">
        <x:v>134</x:v>
      </x:c>
      <x:c r="D12" s="3" t="s">
        <x:v>135</x:v>
      </x:c>
      <x:c r="E12" s="3"/>
      <x:c r="F12" s="3"/>
      <x:c r="G12" s="3"/>
      <x:c r="H12" s="3"/>
      <x:c r="I12" s="3"/>
      <x:c r="J12" s="4" t="b">
        <x:v>0</x:v>
      </x:c>
      <x:c r="K12" s="4" t="b">
        <x:v>0</x:v>
      </x:c>
      <x:c r="L12" s="3" t="n">
        <x:f>IF(E12="",0,IF(E12=IFERROR(INDEX(Matches_2!$F:$F,MATCH(C12,Matches_2!$A:$A,0)),""),IF(OR(D12="Round of 32",D12="Round of 16"),3,5),0))</x:f>
        <x:v>0</x:v>
      </x:c>
      <x:c r="M12" s="3" t="n">
        <x:f>IF(OR(D12="Round of 32",D12="Round of 16"),0,IF(E12="",0,IF(AND(F12&lt;&gt;"",G12&lt;&gt;"",F12=IFERROR(INDEX(Matches_2!$G:$G,MATCH(C12,Matches_2!$A:$A,0)),""),G12=IFERROR(INDEX(Matches_2!$H:$H,MATCH(C12,Matches_2!$A:$A,0)),"")),8,0)))</x:f>
        <x:v>0</x:v>
      </x:c>
      <x:c r="N12" s="3">
        <x:v>0</x:v>
      </x:c>
      <x:c r="O12" s="3" t="n">
        <x:f>IF(OR(D12="Round of 32",D12="Round of 16"),0,IF(E12="",0,IF(J12=IFERROR(INDEX(Matches_2!$I:$I,MATCH(C12,Matches_2!$A:$A,0)),""),3,0)))</x:f>
        <x:v>0</x:v>
      </x:c>
      <x:c r="P12" s="3" t="n">
        <x:f>IF(OR(D12="Round of 32",D12="Round of 16"),0,IF(E12="",0,IF(K12=IFERROR(INDEX(Matches_2!$J:$J,MATCH(C12,Matches_2!$A:$A,0)),""),4,0)))</x:f>
        <x:v>0</x:v>
      </x:c>
      <x:c r="Q12" s="3" t="n">
        <x:f t="shared" si="0">SUM(L12:P12)</x:f>
        <x:v>0</x:v>
      </x:c>
      <x:c r="R12" s="3"/>
      <x:c r="S12" s="4" t="b">
        <x:v>0</x:v>
      </x:c>
      <x:c r="T12" s="2"/>
      <x:c r="U12" s="2"/>
      <x:c r="V12" s="2"/>
      <x:c r="W12" s="2"/>
      <x:c r="X12" s="2"/>
      <x:c r="Y12" s="2"/>
      <x:c r="Z12" s="2"/>
    </x:row>
    <x:row r="13">
      <x:c r="A13" s="3" t="s">
        <x:v>14</x:v>
      </x:c>
      <x:c r="B13" s="3" t="str">
        <x:f>IFERROR(INDEX(Managers!$B:$B,MATCH(A13,Managers!$A:$A,0)),"")</x:f>
        <x:v>Manager 3</x:v>
      </x:c>
      <x:c r="C13" s="3" t="s">
        <x:v>138</x:v>
      </x:c>
      <x:c r="D13" s="3" t="s">
        <x:v>139</x:v>
      </x:c>
      <x:c r="E13" s="3"/>
      <x:c r="F13" s="3"/>
      <x:c r="G13" s="3"/>
      <x:c r="H13" s="3"/>
      <x:c r="I13" s="3"/>
      <x:c r="J13" s="4" t="b">
        <x:v>0</x:v>
      </x:c>
      <x:c r="K13" s="4" t="b">
        <x:v>0</x:v>
      </x:c>
      <x:c r="L13" s="3" t="n">
        <x:f>IF(E13="",0,IF(E13=IFERROR(INDEX(Matches_2!$F:$F,MATCH(C13,Matches_2!$A:$A,0)),""),IF(OR(D13="Round of 32",D13="Round of 16"),3,5),0))</x:f>
        <x:v>0</x:v>
      </x:c>
      <x:c r="M13" s="3" t="n">
        <x:f>IF(OR(D13="Round of 32",D13="Round of 16"),0,IF(E13="",0,IF(AND(F13&lt;&gt;"",G13&lt;&gt;"",F13=IFERROR(INDEX(Matches_2!$G:$G,MATCH(C13,Matches_2!$A:$A,0)),""),G13=IFERROR(INDEX(Matches_2!$H:$H,MATCH(C13,Matches_2!$A:$A,0)),"")),8,0)))</x:f>
        <x:v>0</x:v>
      </x:c>
      <x:c r="N13" s="3">
        <x:v>0</x:v>
      </x:c>
      <x:c r="O13" s="3" t="n">
        <x:f>IF(OR(D13="Round of 32",D13="Round of 16"),0,IF(E13="",0,IF(J13=IFERROR(INDEX(Matches_2!$I:$I,MATCH(C13,Matches_2!$A:$A,0)),""),3,0)))</x:f>
        <x:v>0</x:v>
      </x:c>
      <x:c r="P13" s="3" t="n">
        <x:f>IF(OR(D13="Round of 32",D13="Round of 16"),0,IF(E13="",0,IF(K13=IFERROR(INDEX(Matches_2!$J:$J,MATCH(C13,Matches_2!$A:$A,0)),""),4,0)))</x:f>
        <x:v>0</x:v>
      </x:c>
      <x:c r="Q13" s="3" t="n">
        <x:f t="shared" si="0">SUM(L13:P13)</x:f>
        <x:v>0</x:v>
      </x:c>
      <x:c r="R13" s="3"/>
      <x:c r="S13" s="4" t="b">
        <x:v>0</x:v>
      </x:c>
      <x:c r="T13" s="2"/>
      <x:c r="U13" s="2"/>
      <x:c r="V13" s="2"/>
      <x:c r="W13" s="2"/>
      <x:c r="X13" s="2"/>
      <x:c r="Y13" s="2"/>
      <x:c r="Z13" s="2"/>
    </x:row>
    <x:row r="14">
      <x:c r="A14" s="3" t="s">
        <x:v>14</x:v>
      </x:c>
      <x:c r="B14" s="3" t="str">
        <x:f>IFERROR(INDEX(Managers!$B:$B,MATCH(A14,Managers!$A:$A,0)),"")</x:f>
        <x:v>Manager 3</x:v>
      </x:c>
      <x:c r="C14" s="3" t="s">
        <x:v>142</x:v>
      </x:c>
      <x:c r="D14" s="3" t="s">
        <x:v>143</x:v>
      </x:c>
      <x:c r="E14" s="3"/>
      <x:c r="F14" s="3"/>
      <x:c r="G14" s="3"/>
      <x:c r="H14" s="3"/>
      <x:c r="I14" s="3"/>
      <x:c r="J14" s="4" t="b">
        <x:v>0</x:v>
      </x:c>
      <x:c r="K14" s="4" t="b">
        <x:v>0</x:v>
      </x:c>
      <x:c r="L14" s="3" t="n">
        <x:f>IF(E14="",0,IF(E14=IFERROR(INDEX(Matches_2!$F:$F,MATCH(C14,Matches_2!$A:$A,0)),""),IF(OR(D14="Round of 32",D14="Round of 16"),3,5),0))</x:f>
        <x:v>0</x:v>
      </x:c>
      <x:c r="M14" s="3" t="n">
        <x:f>IF(OR(D14="Round of 32",D14="Round of 16"),0,IF(E14="",0,IF(AND(F14&lt;&gt;"",G14&lt;&gt;"",F14=IFERROR(INDEX(Matches_2!$G:$G,MATCH(C14,Matches_2!$A:$A,0)),""),G14=IFERROR(INDEX(Matches_2!$H:$H,MATCH(C14,Matches_2!$A:$A,0)),"")),8,0)))</x:f>
        <x:v>0</x:v>
      </x:c>
      <x:c r="N14" s="3">
        <x:v>0</x:v>
      </x:c>
      <x:c r="O14" s="3" t="n">
        <x:f>IF(OR(D14="Round of 32",D14="Round of 16"),0,IF(E14="",0,IF(J14=IFERROR(INDEX(Matches_2!$I:$I,MATCH(C14,Matches_2!$A:$A,0)),""),3,0)))</x:f>
        <x:v>0</x:v>
      </x:c>
      <x:c r="P14" s="3" t="n">
        <x:f>IF(OR(D14="Round of 32",D14="Round of 16"),0,IF(E14="",0,IF(K14=IFERROR(INDEX(Matches_2!$J:$J,MATCH(C14,Matches_2!$A:$A,0)),""),4,0)))</x:f>
        <x:v>0</x:v>
      </x:c>
      <x:c r="Q14" s="3" t="n">
        <x:f t="shared" si="0">SUM(L14:P14)</x:f>
        <x:v>0</x:v>
      </x:c>
      <x:c r="R14" s="3"/>
      <x:c r="S14" s="4" t="b">
        <x:v>0</x:v>
      </x:c>
      <x:c r="T14" s="2"/>
      <x:c r="U14" s="2"/>
      <x:c r="V14" s="2"/>
      <x:c r="W14" s="2"/>
      <x:c r="X14" s="2"/>
      <x:c r="Y14" s="2"/>
      <x:c r="Z14" s="2"/>
    </x:row>
    <x:row r="15">
      <x:c r="A15" s="3" t="s">
        <x:v>14</x:v>
      </x:c>
      <x:c r="B15" s="3" t="str">
        <x:f>IFERROR(INDEX(Managers!$B:$B,MATCH(A15,Managers!$A:$A,0)),"")</x:f>
        <x:v>Manager 3</x:v>
      </x:c>
      <x:c r="C15" s="3" t="s">
        <x:v>145</x:v>
      </x:c>
      <x:c r="D15" s="3" t="s">
        <x:v>146</x:v>
      </x:c>
      <x:c r="E15" s="3"/>
      <x:c r="F15" s="3"/>
      <x:c r="G15" s="3"/>
      <x:c r="H15" s="3"/>
      <x:c r="I15" s="3"/>
      <x:c r="J15" s="4" t="b">
        <x:v>0</x:v>
      </x:c>
      <x:c r="K15" s="4" t="b">
        <x:v>0</x:v>
      </x:c>
      <x:c r="L15" s="3" t="n">
        <x:f>IF(E15="",0,IF(E15=IFERROR(INDEX(Matches_2!$F:$F,MATCH(C15,Matches_2!$A:$A,0)),""),IF(OR(D15="Round of 32",D15="Round of 16"),3,5),0))</x:f>
        <x:v>0</x:v>
      </x:c>
      <x:c r="M15" s="3" t="n">
        <x:f>IF(OR(D15="Round of 32",D15="Round of 16"),0,IF(E15="",0,IF(AND(F15&lt;&gt;"",G15&lt;&gt;"",F15=IFERROR(INDEX(Matches_2!$G:$G,MATCH(C15,Matches_2!$A:$A,0)),""),G15=IFERROR(INDEX(Matches_2!$H:$H,MATCH(C15,Matches_2!$A:$A,0)),"")),8,0)))</x:f>
        <x:v>0</x:v>
      </x:c>
      <x:c r="N15" s="3">
        <x:v>0</x:v>
      </x:c>
      <x:c r="O15" s="3" t="n">
        <x:f>IF(OR(D15="Round of 32",D15="Round of 16"),0,IF(E15="",0,IF(J15=IFERROR(INDEX(Matches_2!$I:$I,MATCH(C15,Matches_2!$A:$A,0)),""),3,0)))</x:f>
        <x:v>0</x:v>
      </x:c>
      <x:c r="P15" s="3" t="n">
        <x:f>IF(OR(D15="Round of 32",D15="Round of 16"),0,IF(E15="",0,IF(K15=IFERROR(INDEX(Matches_2!$J:$J,MATCH(C15,Matches_2!$A:$A,0)),""),4,0)))</x:f>
        <x:v>0</x:v>
      </x:c>
      <x:c r="Q15" s="3" t="n">
        <x:f t="shared" si="0">SUM(L15:P15)</x:f>
        <x:v>0</x:v>
      </x:c>
      <x:c r="R15" s="3"/>
      <x:c r="S15" s="4" t="b">
        <x:v>0</x:v>
      </x:c>
      <x:c r="T15" s="2"/>
      <x:c r="U15" s="2"/>
      <x:c r="V15" s="2"/>
      <x:c r="W15" s="2"/>
      <x:c r="X15" s="2"/>
      <x:c r="Y15" s="2"/>
      <x:c r="Z15" s="2"/>
    </x:row>
    <x:row r="16">
      <x:c r="A16" s="3" t="s">
        <x:v>14</x:v>
      </x:c>
      <x:c r="B16" s="3" t="str">
        <x:f>IFERROR(INDEX(Managers!$B:$B,MATCH(A16,Managers!$A:$A,0)),"")</x:f>
        <x:v>Manager 3</x:v>
      </x:c>
      <x:c r="C16" s="3" t="s">
        <x:v>147</x:v>
      </x:c>
      <x:c r="D16" s="3" t="s">
        <x:v>148</x:v>
      </x:c>
      <x:c r="E16" s="3"/>
      <x:c r="F16" s="3"/>
      <x:c r="G16" s="3"/>
      <x:c r="H16" s="3"/>
      <x:c r="I16" s="3"/>
      <x:c r="J16" s="4" t="b">
        <x:v>0</x:v>
      </x:c>
      <x:c r="K16" s="4" t="b">
        <x:v>0</x:v>
      </x:c>
      <x:c r="L16" s="3" t="n">
        <x:f>IF(E16="",0,IF(E16=IFERROR(INDEX(Matches_2!$F:$F,MATCH(C16,Matches_2!$A:$A,0)),""),IF(OR(D16="Round of 32",D16="Round of 16"),3,5),0))</x:f>
        <x:v>0</x:v>
      </x:c>
      <x:c r="M16" s="3" t="n">
        <x:f>IF(OR(D16="Round of 32",D16="Round of 16"),0,IF(E16="",0,IF(AND(F16&lt;&gt;"",G16&lt;&gt;"",F16=IFERROR(INDEX(Matches_2!$G:$G,MATCH(C16,Matches_2!$A:$A,0)),""),G16=IFERROR(INDEX(Matches_2!$H:$H,MATCH(C16,Matches_2!$A:$A,0)),"")),8,0)))</x:f>
        <x:v>0</x:v>
      </x:c>
      <x:c r="N16" s="3">
        <x:v>0</x:v>
      </x:c>
      <x:c r="O16" s="3" t="n">
        <x:f>IF(OR(D16="Round of 32",D16="Round of 16"),0,IF(E16="",0,IF(J16=IFERROR(INDEX(Matches_2!$I:$I,MATCH(C16,Matches_2!$A:$A,0)),""),3,0)))</x:f>
        <x:v>0</x:v>
      </x:c>
      <x:c r="P16" s="3" t="n">
        <x:f>IF(OR(D16="Round of 32",D16="Round of 16"),0,IF(E16="",0,IF(K16=IFERROR(INDEX(Matches_2!$J:$J,MATCH(C16,Matches_2!$A:$A,0)),""),4,0)))</x:f>
        <x:v>0</x:v>
      </x:c>
      <x:c r="Q16" s="3" t="n">
        <x:f t="shared" si="0">SUM(L16:P16)</x:f>
        <x:v>0</x:v>
      </x:c>
      <x:c r="R16" s="3"/>
      <x:c r="S16" s="4" t="b">
        <x:v>0</x:v>
      </x:c>
      <x:c r="T16" s="2"/>
      <x:c r="U16" s="2"/>
      <x:c r="V16" s="2"/>
      <x:c r="W16" s="2"/>
      <x:c r="X16" s="2"/>
      <x:c r="Y16" s="2"/>
      <x:c r="Z16" s="2"/>
    </x:row>
    <x:row r="17">
      <x:c r="A17" s="3" t="s">
        <x:v>18</x:v>
      </x:c>
      <x:c r="B17" s="3" t="str">
        <x:f>IFERROR(INDEX(Managers!$B:$B,MATCH(A17,Managers!$A:$A,0)),"")</x:f>
        <x:v>Manager 4</x:v>
      </x:c>
      <x:c r="C17" s="3" t="s">
        <x:v>134</x:v>
      </x:c>
      <x:c r="D17" s="3" t="s">
        <x:v>135</x:v>
      </x:c>
      <x:c r="E17" s="3"/>
      <x:c r="F17" s="3"/>
      <x:c r="G17" s="3"/>
      <x:c r="H17" s="3"/>
      <x:c r="I17" s="3"/>
      <x:c r="J17" s="4" t="b">
        <x:v>0</x:v>
      </x:c>
      <x:c r="K17" s="4" t="b">
        <x:v>0</x:v>
      </x:c>
      <x:c r="L17" s="3" t="n">
        <x:f>IF(E17="",0,IF(E17=IFERROR(INDEX(Matches_2!$F:$F,MATCH(C17,Matches_2!$A:$A,0)),""),IF(OR(D17="Round of 32",D17="Round of 16"),3,5),0))</x:f>
        <x:v>0</x:v>
      </x:c>
      <x:c r="M17" s="3" t="n">
        <x:f>IF(OR(D17="Round of 32",D17="Round of 16"),0,IF(E17="",0,IF(AND(F17&lt;&gt;"",G17&lt;&gt;"",F17=IFERROR(INDEX(Matches_2!$G:$G,MATCH(C17,Matches_2!$A:$A,0)),""),G17=IFERROR(INDEX(Matches_2!$H:$H,MATCH(C17,Matches_2!$A:$A,0)),"")),8,0)))</x:f>
        <x:v>0</x:v>
      </x:c>
      <x:c r="N17" s="3">
        <x:v>0</x:v>
      </x:c>
      <x:c r="O17" s="3" t="n">
        <x:f>IF(OR(D17="Round of 32",D17="Round of 16"),0,IF(E17="",0,IF(J17=IFERROR(INDEX(Matches_2!$I:$I,MATCH(C17,Matches_2!$A:$A,0)),""),3,0)))</x:f>
        <x:v>0</x:v>
      </x:c>
      <x:c r="P17" s="3" t="n">
        <x:f>IF(OR(D17="Round of 32",D17="Round of 16"),0,IF(E17="",0,IF(K17=IFERROR(INDEX(Matches_2!$J:$J,MATCH(C17,Matches_2!$A:$A,0)),""),4,0)))</x:f>
        <x:v>0</x:v>
      </x:c>
      <x:c r="Q17" s="3" t="n">
        <x:f t="shared" si="0">SUM(L17:P17)</x:f>
        <x:v>0</x:v>
      </x:c>
      <x:c r="R17" s="3"/>
      <x:c r="S17" s="4" t="b">
        <x:v>0</x:v>
      </x:c>
      <x:c r="T17" s="2"/>
      <x:c r="U17" s="2"/>
      <x:c r="V17" s="2"/>
      <x:c r="W17" s="2"/>
      <x:c r="X17" s="2"/>
      <x:c r="Y17" s="2"/>
      <x:c r="Z17" s="2"/>
    </x:row>
    <x:row r="18">
      <x:c r="A18" s="3" t="s">
        <x:v>18</x:v>
      </x:c>
      <x:c r="B18" s="3" t="str">
        <x:f>IFERROR(INDEX(Managers!$B:$B,MATCH(A18,Managers!$A:$A,0)),"")</x:f>
        <x:v>Manager 4</x:v>
      </x:c>
      <x:c r="C18" s="3" t="s">
        <x:v>138</x:v>
      </x:c>
      <x:c r="D18" s="3" t="s">
        <x:v>139</x:v>
      </x:c>
      <x:c r="E18" s="3"/>
      <x:c r="F18" s="3"/>
      <x:c r="G18" s="3"/>
      <x:c r="H18" s="3"/>
      <x:c r="I18" s="3"/>
      <x:c r="J18" s="4" t="b">
        <x:v>0</x:v>
      </x:c>
      <x:c r="K18" s="4" t="b">
        <x:v>0</x:v>
      </x:c>
      <x:c r="L18" s="3" t="n">
        <x:f>IF(E18="",0,IF(E18=IFERROR(INDEX(Matches_2!$F:$F,MATCH(C18,Matches_2!$A:$A,0)),""),IF(OR(D18="Round of 32",D18="Round of 16"),3,5),0))</x:f>
        <x:v>0</x:v>
      </x:c>
      <x:c r="M18" s="3" t="n">
        <x:f>IF(OR(D18="Round of 32",D18="Round of 16"),0,IF(E18="",0,IF(AND(F18&lt;&gt;"",G18&lt;&gt;"",F18=IFERROR(INDEX(Matches_2!$G:$G,MATCH(C18,Matches_2!$A:$A,0)),""),G18=IFERROR(INDEX(Matches_2!$H:$H,MATCH(C18,Matches_2!$A:$A,0)),"")),8,0)))</x:f>
        <x:v>0</x:v>
      </x:c>
      <x:c r="N18" s="3">
        <x:v>0</x:v>
      </x:c>
      <x:c r="O18" s="3" t="n">
        <x:f>IF(OR(D18="Round of 32",D18="Round of 16"),0,IF(E18="",0,IF(J18=IFERROR(INDEX(Matches_2!$I:$I,MATCH(C18,Matches_2!$A:$A,0)),""),3,0)))</x:f>
        <x:v>0</x:v>
      </x:c>
      <x:c r="P18" s="3" t="n">
        <x:f>IF(OR(D18="Round of 32",D18="Round of 16"),0,IF(E18="",0,IF(K18=IFERROR(INDEX(Matches_2!$J:$J,MATCH(C18,Matches_2!$A:$A,0)),""),4,0)))</x:f>
        <x:v>0</x:v>
      </x:c>
      <x:c r="Q18" s="3" t="n">
        <x:f t="shared" si="0">SUM(L18:P18)</x:f>
        <x:v>0</x:v>
      </x:c>
      <x:c r="R18" s="3"/>
      <x:c r="S18" s="4" t="b">
        <x:v>0</x:v>
      </x:c>
      <x:c r="T18" s="2"/>
      <x:c r="U18" s="2"/>
      <x:c r="V18" s="2"/>
      <x:c r="W18" s="2"/>
      <x:c r="X18" s="2"/>
      <x:c r="Y18" s="2"/>
      <x:c r="Z18" s="2"/>
    </x:row>
    <x:row r="19">
      <x:c r="A19" s="3" t="s">
        <x:v>18</x:v>
      </x:c>
      <x:c r="B19" s="3" t="str">
        <x:f>IFERROR(INDEX(Managers!$B:$B,MATCH(A19,Managers!$A:$A,0)),"")</x:f>
        <x:v>Manager 4</x:v>
      </x:c>
      <x:c r="C19" s="3" t="s">
        <x:v>142</x:v>
      </x:c>
      <x:c r="D19" s="3" t="s">
        <x:v>143</x:v>
      </x:c>
      <x:c r="E19" s="3"/>
      <x:c r="F19" s="3"/>
      <x:c r="G19" s="3"/>
      <x:c r="H19" s="3"/>
      <x:c r="I19" s="3"/>
      <x:c r="J19" s="4" t="b">
        <x:v>0</x:v>
      </x:c>
      <x:c r="K19" s="4" t="b">
        <x:v>0</x:v>
      </x:c>
      <x:c r="L19" s="3" t="n">
        <x:f>IF(E19="",0,IF(E19=IFERROR(INDEX(Matches_2!$F:$F,MATCH(C19,Matches_2!$A:$A,0)),""),IF(OR(D19="Round of 32",D19="Round of 16"),3,5),0))</x:f>
        <x:v>0</x:v>
      </x:c>
      <x:c r="M19" s="3" t="n">
        <x:f>IF(OR(D19="Round of 32",D19="Round of 16"),0,IF(E19="",0,IF(AND(F19&lt;&gt;"",G19&lt;&gt;"",F19=IFERROR(INDEX(Matches_2!$G:$G,MATCH(C19,Matches_2!$A:$A,0)),""),G19=IFERROR(INDEX(Matches_2!$H:$H,MATCH(C19,Matches_2!$A:$A,0)),"")),8,0)))</x:f>
        <x:v>0</x:v>
      </x:c>
      <x:c r="N19" s="3">
        <x:v>0</x:v>
      </x:c>
      <x:c r="O19" s="3" t="n">
        <x:f>IF(OR(D19="Round of 32",D19="Round of 16"),0,IF(E19="",0,IF(J19=IFERROR(INDEX(Matches_2!$I:$I,MATCH(C19,Matches_2!$A:$A,0)),""),3,0)))</x:f>
        <x:v>0</x:v>
      </x:c>
      <x:c r="P19" s="3" t="n">
        <x:f>IF(OR(D19="Round of 32",D19="Round of 16"),0,IF(E19="",0,IF(K19=IFERROR(INDEX(Matches_2!$J:$J,MATCH(C19,Matches_2!$A:$A,0)),""),4,0)))</x:f>
        <x:v>0</x:v>
      </x:c>
      <x:c r="Q19" s="3" t="n">
        <x:f t="shared" si="0">SUM(L19:P19)</x:f>
        <x:v>0</x:v>
      </x:c>
      <x:c r="R19" s="3"/>
      <x:c r="S19" s="4" t="b">
        <x:v>0</x:v>
      </x:c>
      <x:c r="T19" s="2"/>
      <x:c r="U19" s="2"/>
      <x:c r="V19" s="2"/>
      <x:c r="W19" s="2"/>
      <x:c r="X19" s="2"/>
      <x:c r="Y19" s="2"/>
      <x:c r="Z19" s="2"/>
    </x:row>
    <x:row r="20">
      <x:c r="A20" s="3" t="s">
        <x:v>18</x:v>
      </x:c>
      <x:c r="B20" s="3" t="str">
        <x:f>IFERROR(INDEX(Managers!$B:$B,MATCH(A20,Managers!$A:$A,0)),"")</x:f>
        <x:v>Manager 4</x:v>
      </x:c>
      <x:c r="C20" s="3" t="s">
        <x:v>145</x:v>
      </x:c>
      <x:c r="D20" s="3" t="s">
        <x:v>146</x:v>
      </x:c>
      <x:c r="E20" s="3"/>
      <x:c r="F20" s="3"/>
      <x:c r="G20" s="3"/>
      <x:c r="H20" s="3"/>
      <x:c r="I20" s="3"/>
      <x:c r="J20" s="4" t="b">
        <x:v>0</x:v>
      </x:c>
      <x:c r="K20" s="4" t="b">
        <x:v>0</x:v>
      </x:c>
      <x:c r="L20" s="3" t="n">
        <x:f>IF(E20="",0,IF(E20=IFERROR(INDEX(Matches_2!$F:$F,MATCH(C20,Matches_2!$A:$A,0)),""),IF(OR(D20="Round of 32",D20="Round of 16"),3,5),0))</x:f>
        <x:v>0</x:v>
      </x:c>
      <x:c r="M20" s="3" t="n">
        <x:f>IF(OR(D20="Round of 32",D20="Round of 16"),0,IF(E20="",0,IF(AND(F20&lt;&gt;"",G20&lt;&gt;"",F20=IFERROR(INDEX(Matches_2!$G:$G,MATCH(C20,Matches_2!$A:$A,0)),""),G20=IFERROR(INDEX(Matches_2!$H:$H,MATCH(C20,Matches_2!$A:$A,0)),"")),8,0)))</x:f>
        <x:v>0</x:v>
      </x:c>
      <x:c r="N20" s="3">
        <x:v>0</x:v>
      </x:c>
      <x:c r="O20" s="3" t="n">
        <x:f>IF(OR(D20="Round of 32",D20="Round of 16"),0,IF(E20="",0,IF(J20=IFERROR(INDEX(Matches_2!$I:$I,MATCH(C20,Matches_2!$A:$A,0)),""),3,0)))</x:f>
        <x:v>0</x:v>
      </x:c>
      <x:c r="P20" s="3" t="n">
        <x:f>IF(OR(D20="Round of 32",D20="Round of 16"),0,IF(E20="",0,IF(K20=IFERROR(INDEX(Matches_2!$J:$J,MATCH(C20,Matches_2!$A:$A,0)),""),4,0)))</x:f>
        <x:v>0</x:v>
      </x:c>
      <x:c r="Q20" s="3" t="n">
        <x:f t="shared" si="0">SUM(L20:P20)</x:f>
        <x:v>0</x:v>
      </x:c>
      <x:c r="R20" s="3"/>
      <x:c r="S20" s="4" t="b">
        <x:v>0</x:v>
      </x:c>
      <x:c r="T20" s="2"/>
      <x:c r="U20" s="2"/>
      <x:c r="V20" s="2"/>
      <x:c r="W20" s="2"/>
      <x:c r="X20" s="2"/>
      <x:c r="Y20" s="2"/>
      <x:c r="Z20" s="2"/>
    </x:row>
    <x:row r="21">
      <x:c r="A21" s="3" t="s">
        <x:v>18</x:v>
      </x:c>
      <x:c r="B21" s="3" t="str">
        <x:f>IFERROR(INDEX(Managers!$B:$B,MATCH(A21,Managers!$A:$A,0)),"")</x:f>
        <x:v>Manager 4</x:v>
      </x:c>
      <x:c r="C21" s="3" t="s">
        <x:v>147</x:v>
      </x:c>
      <x:c r="D21" s="3" t="s">
        <x:v>148</x:v>
      </x:c>
      <x:c r="E21" s="3"/>
      <x:c r="F21" s="3"/>
      <x:c r="G21" s="3"/>
      <x:c r="H21" s="3"/>
      <x:c r="I21" s="3"/>
      <x:c r="J21" s="4" t="b">
        <x:v>0</x:v>
      </x:c>
      <x:c r="K21" s="4" t="b">
        <x:v>0</x:v>
      </x:c>
      <x:c r="L21" s="3" t="n">
        <x:f>IF(E21="",0,IF(E21=IFERROR(INDEX(Matches_2!$F:$F,MATCH(C21,Matches_2!$A:$A,0)),""),IF(OR(D21="Round of 32",D21="Round of 16"),3,5),0))</x:f>
        <x:v>0</x:v>
      </x:c>
      <x:c r="M21" s="3" t="n">
        <x:f>IF(OR(D21="Round of 32",D21="Round of 16"),0,IF(E21="",0,IF(AND(F21&lt;&gt;"",G21&lt;&gt;"",F21=IFERROR(INDEX(Matches_2!$G:$G,MATCH(C21,Matches_2!$A:$A,0)),""),G21=IFERROR(INDEX(Matches_2!$H:$H,MATCH(C21,Matches_2!$A:$A,0)),"")),8,0)))</x:f>
        <x:v>0</x:v>
      </x:c>
      <x:c r="N21" s="3">
        <x:v>0</x:v>
      </x:c>
      <x:c r="O21" s="3" t="n">
        <x:f>IF(OR(D21="Round of 32",D21="Round of 16"),0,IF(E21="",0,IF(J21=IFERROR(INDEX(Matches_2!$I:$I,MATCH(C21,Matches_2!$A:$A,0)),""),3,0)))</x:f>
        <x:v>0</x:v>
      </x:c>
      <x:c r="P21" s="3" t="n">
        <x:f>IF(OR(D21="Round of 32",D21="Round of 16"),0,IF(E21="",0,IF(K21=IFERROR(INDEX(Matches_2!$J:$J,MATCH(C21,Matches_2!$A:$A,0)),""),4,0)))</x:f>
        <x:v>0</x:v>
      </x:c>
      <x:c r="Q21" s="3" t="n">
        <x:f t="shared" si="0">SUM(L21:P21)</x:f>
        <x:v>0</x:v>
      </x:c>
      <x:c r="R21" s="3"/>
      <x:c r="S21" s="4" t="b">
        <x:v>0</x:v>
      </x:c>
      <x:c r="T21" s="2"/>
      <x:c r="U21" s="2"/>
      <x:c r="V21" s="2"/>
      <x:c r="W21" s="2"/>
      <x:c r="X21" s="2"/>
      <x:c r="Y21" s="2"/>
      <x:c r="Z21" s="2"/>
    </x:row>
    <x:row r="22">
      <x:c r="A22" s="3" t="s">
        <x:v>22</x:v>
      </x:c>
      <x:c r="B22" s="3" t="str">
        <x:f>IFERROR(INDEX(Managers!$B:$B,MATCH(A22,Managers!$A:$A,0)),"")</x:f>
        <x:v>Manager 5</x:v>
      </x:c>
      <x:c r="C22" s="3" t="s">
        <x:v>134</x:v>
      </x:c>
      <x:c r="D22" s="3" t="s">
        <x:v>135</x:v>
      </x:c>
      <x:c r="E22" s="3"/>
      <x:c r="F22" s="3"/>
      <x:c r="G22" s="3"/>
      <x:c r="H22" s="3"/>
      <x:c r="I22" s="3"/>
      <x:c r="J22" s="4" t="b">
        <x:v>0</x:v>
      </x:c>
      <x:c r="K22" s="4" t="b">
        <x:v>0</x:v>
      </x:c>
      <x:c r="L22" s="3" t="n">
        <x:f>IF(E22="",0,IF(E22=IFERROR(INDEX(Matches_2!$F:$F,MATCH(C22,Matches_2!$A:$A,0)),""),IF(OR(D22="Round of 32",D22="Round of 16"),3,5),0))</x:f>
        <x:v>0</x:v>
      </x:c>
      <x:c r="M22" s="3" t="n">
        <x:f>IF(OR(D22="Round of 32",D22="Round of 16"),0,IF(E22="",0,IF(AND(F22&lt;&gt;"",G22&lt;&gt;"",F22=IFERROR(INDEX(Matches_2!$G:$G,MATCH(C22,Matches_2!$A:$A,0)),""),G22=IFERROR(INDEX(Matches_2!$H:$H,MATCH(C22,Matches_2!$A:$A,0)),"")),8,0)))</x:f>
        <x:v>0</x:v>
      </x:c>
      <x:c r="N22" s="3">
        <x:v>0</x:v>
      </x:c>
      <x:c r="O22" s="3" t="n">
        <x:f>IF(OR(D22="Round of 32",D22="Round of 16"),0,IF(E22="",0,IF(J22=IFERROR(INDEX(Matches_2!$I:$I,MATCH(C22,Matches_2!$A:$A,0)),""),3,0)))</x:f>
        <x:v>0</x:v>
      </x:c>
      <x:c r="P22" s="3" t="n">
        <x:f>IF(OR(D22="Round of 32",D22="Round of 16"),0,IF(E22="",0,IF(K22=IFERROR(INDEX(Matches_2!$J:$J,MATCH(C22,Matches_2!$A:$A,0)),""),4,0)))</x:f>
        <x:v>0</x:v>
      </x:c>
      <x:c r="Q22" s="3" t="n">
        <x:f t="shared" si="0">SUM(L22:P22)</x:f>
        <x:v>0</x:v>
      </x:c>
      <x:c r="R22" s="3"/>
      <x:c r="S22" s="4" t="b">
        <x:v>0</x:v>
      </x:c>
      <x:c r="T22" s="2"/>
      <x:c r="U22" s="2"/>
      <x:c r="V22" s="2"/>
      <x:c r="W22" s="2"/>
      <x:c r="X22" s="2"/>
      <x:c r="Y22" s="2"/>
      <x:c r="Z22" s="2"/>
    </x:row>
    <x:row r="23">
      <x:c r="A23" s="3" t="s">
        <x:v>22</x:v>
      </x:c>
      <x:c r="B23" s="3" t="str">
        <x:f>IFERROR(INDEX(Managers!$B:$B,MATCH(A23,Managers!$A:$A,0)),"")</x:f>
        <x:v>Manager 5</x:v>
      </x:c>
      <x:c r="C23" s="3" t="s">
        <x:v>138</x:v>
      </x:c>
      <x:c r="D23" s="3" t="s">
        <x:v>139</x:v>
      </x:c>
      <x:c r="E23" s="3"/>
      <x:c r="F23" s="3"/>
      <x:c r="G23" s="3"/>
      <x:c r="H23" s="3"/>
      <x:c r="I23" s="3"/>
      <x:c r="J23" s="4" t="b">
        <x:v>0</x:v>
      </x:c>
      <x:c r="K23" s="4" t="b">
        <x:v>0</x:v>
      </x:c>
      <x:c r="L23" s="3" t="n">
        <x:f>IF(E23="",0,IF(E23=IFERROR(INDEX(Matches_2!$F:$F,MATCH(C23,Matches_2!$A:$A,0)),""),IF(OR(D23="Round of 32",D23="Round of 16"),3,5),0))</x:f>
        <x:v>0</x:v>
      </x:c>
      <x:c r="M23" s="3" t="n">
        <x:f>IF(OR(D23="Round of 32",D23="Round of 16"),0,IF(E23="",0,IF(AND(F23&lt;&gt;"",G23&lt;&gt;"",F23=IFERROR(INDEX(Matches_2!$G:$G,MATCH(C23,Matches_2!$A:$A,0)),""),G23=IFERROR(INDEX(Matches_2!$H:$H,MATCH(C23,Matches_2!$A:$A,0)),"")),8,0)))</x:f>
        <x:v>0</x:v>
      </x:c>
      <x:c r="N23" s="3">
        <x:v>0</x:v>
      </x:c>
      <x:c r="O23" s="3" t="n">
        <x:f>IF(OR(D23="Round of 32",D23="Round of 16"),0,IF(E23="",0,IF(J23=IFERROR(INDEX(Matches_2!$I:$I,MATCH(C23,Matches_2!$A:$A,0)),""),3,0)))</x:f>
        <x:v>0</x:v>
      </x:c>
      <x:c r="P23" s="3" t="n">
        <x:f>IF(OR(D23="Round of 32",D23="Round of 16"),0,IF(E23="",0,IF(K23=IFERROR(INDEX(Matches_2!$J:$J,MATCH(C23,Matches_2!$A:$A,0)),""),4,0)))</x:f>
        <x:v>0</x:v>
      </x:c>
      <x:c r="Q23" s="3" t="n">
        <x:f t="shared" si="0">SUM(L23:P23)</x:f>
        <x:v>0</x:v>
      </x:c>
      <x:c r="R23" s="3"/>
      <x:c r="S23" s="4" t="b">
        <x:v>0</x:v>
      </x:c>
      <x:c r="T23" s="2"/>
      <x:c r="U23" s="2"/>
      <x:c r="V23" s="2"/>
      <x:c r="W23" s="2"/>
      <x:c r="X23" s="2"/>
      <x:c r="Y23" s="2"/>
      <x:c r="Z23" s="2"/>
    </x:row>
    <x:row r="24">
      <x:c r="A24" s="3" t="s">
        <x:v>22</x:v>
      </x:c>
      <x:c r="B24" s="3" t="str">
        <x:f>IFERROR(INDEX(Managers!$B:$B,MATCH(A24,Managers!$A:$A,0)),"")</x:f>
        <x:v>Manager 5</x:v>
      </x:c>
      <x:c r="C24" s="3" t="s">
        <x:v>142</x:v>
      </x:c>
      <x:c r="D24" s="3" t="s">
        <x:v>143</x:v>
      </x:c>
      <x:c r="E24" s="3"/>
      <x:c r="F24" s="3"/>
      <x:c r="G24" s="3"/>
      <x:c r="H24" s="3"/>
      <x:c r="I24" s="3"/>
      <x:c r="J24" s="4" t="b">
        <x:v>0</x:v>
      </x:c>
      <x:c r="K24" s="4" t="b">
        <x:v>0</x:v>
      </x:c>
      <x:c r="L24" s="3" t="n">
        <x:f>IF(E24="",0,IF(E24=IFERROR(INDEX(Matches_2!$F:$F,MATCH(C24,Matches_2!$A:$A,0)),""),IF(OR(D24="Round of 32",D24="Round of 16"),3,5),0))</x:f>
        <x:v>0</x:v>
      </x:c>
      <x:c r="M24" s="3" t="n">
        <x:f>IF(OR(D24="Round of 32",D24="Round of 16"),0,IF(E24="",0,IF(AND(F24&lt;&gt;"",G24&lt;&gt;"",F24=IFERROR(INDEX(Matches_2!$G:$G,MATCH(C24,Matches_2!$A:$A,0)),""),G24=IFERROR(INDEX(Matches_2!$H:$H,MATCH(C24,Matches_2!$A:$A,0)),"")),8,0)))</x:f>
        <x:v>0</x:v>
      </x:c>
      <x:c r="N24" s="3">
        <x:v>0</x:v>
      </x:c>
      <x:c r="O24" s="3" t="n">
        <x:f>IF(OR(D24="Round of 32",D24="Round of 16"),0,IF(E24="",0,IF(J24=IFERROR(INDEX(Matches_2!$I:$I,MATCH(C24,Matches_2!$A:$A,0)),""),3,0)))</x:f>
        <x:v>0</x:v>
      </x:c>
      <x:c r="P24" s="3" t="n">
        <x:f>IF(OR(D24="Round of 32",D24="Round of 16"),0,IF(E24="",0,IF(K24=IFERROR(INDEX(Matches_2!$J:$J,MATCH(C24,Matches_2!$A:$A,0)),""),4,0)))</x:f>
        <x:v>0</x:v>
      </x:c>
      <x:c r="Q24" s="3" t="n">
        <x:f t="shared" si="0">SUM(L24:P24)</x:f>
        <x:v>0</x:v>
      </x:c>
      <x:c r="R24" s="3"/>
      <x:c r="S24" s="4" t="b">
        <x:v>0</x:v>
      </x:c>
      <x:c r="T24" s="2"/>
      <x:c r="U24" s="2"/>
      <x:c r="V24" s="2"/>
      <x:c r="W24" s="2"/>
      <x:c r="X24" s="2"/>
      <x:c r="Y24" s="2"/>
      <x:c r="Z24" s="2"/>
    </x:row>
    <x:row r="25">
      <x:c r="A25" s="3" t="s">
        <x:v>22</x:v>
      </x:c>
      <x:c r="B25" s="3" t="str">
        <x:f>IFERROR(INDEX(Managers!$B:$B,MATCH(A25,Managers!$A:$A,0)),"")</x:f>
        <x:v>Manager 5</x:v>
      </x:c>
      <x:c r="C25" s="3" t="s">
        <x:v>145</x:v>
      </x:c>
      <x:c r="D25" s="3" t="s">
        <x:v>146</x:v>
      </x:c>
      <x:c r="E25" s="3"/>
      <x:c r="F25" s="3"/>
      <x:c r="G25" s="3"/>
      <x:c r="H25" s="3"/>
      <x:c r="I25" s="3"/>
      <x:c r="J25" s="4" t="b">
        <x:v>0</x:v>
      </x:c>
      <x:c r="K25" s="4" t="b">
        <x:v>0</x:v>
      </x:c>
      <x:c r="L25" s="3" t="n">
        <x:f>IF(E25="",0,IF(E25=IFERROR(INDEX(Matches_2!$F:$F,MATCH(C25,Matches_2!$A:$A,0)),""),IF(OR(D25="Round of 32",D25="Round of 16"),3,5),0))</x:f>
        <x:v>0</x:v>
      </x:c>
      <x:c r="M25" s="3" t="n">
        <x:f>IF(OR(D25="Round of 32",D25="Round of 16"),0,IF(E25="",0,IF(AND(F25&lt;&gt;"",G25&lt;&gt;"",F25=IFERROR(INDEX(Matches_2!$G:$G,MATCH(C25,Matches_2!$A:$A,0)),""),G25=IFERROR(INDEX(Matches_2!$H:$H,MATCH(C25,Matches_2!$A:$A,0)),"")),8,0)))</x:f>
        <x:v>0</x:v>
      </x:c>
      <x:c r="N25" s="3">
        <x:v>0</x:v>
      </x:c>
      <x:c r="O25" s="3" t="n">
        <x:f>IF(OR(D25="Round of 32",D25="Round of 16"),0,IF(E25="",0,IF(J25=IFERROR(INDEX(Matches_2!$I:$I,MATCH(C25,Matches_2!$A:$A,0)),""),3,0)))</x:f>
        <x:v>0</x:v>
      </x:c>
      <x:c r="P25" s="3" t="n">
        <x:f>IF(OR(D25="Round of 32",D25="Round of 16"),0,IF(E25="",0,IF(K25=IFERROR(INDEX(Matches_2!$J:$J,MATCH(C25,Matches_2!$A:$A,0)),""),4,0)))</x:f>
        <x:v>0</x:v>
      </x:c>
      <x:c r="Q25" s="3" t="n">
        <x:f t="shared" si="0">SUM(L25:P25)</x:f>
        <x:v>0</x:v>
      </x:c>
      <x:c r="R25" s="3"/>
      <x:c r="S25" s="4" t="b">
        <x:v>0</x:v>
      </x:c>
      <x:c r="T25" s="2"/>
      <x:c r="U25" s="2"/>
      <x:c r="V25" s="2"/>
      <x:c r="W25" s="2"/>
      <x:c r="X25" s="2"/>
      <x:c r="Y25" s="2"/>
      <x:c r="Z25" s="2"/>
    </x:row>
    <x:row r="26">
      <x:c r="A26" s="3" t="s">
        <x:v>22</x:v>
      </x:c>
      <x:c r="B26" s="3" t="str">
        <x:f>IFERROR(INDEX(Managers!$B:$B,MATCH(A26,Managers!$A:$A,0)),"")</x:f>
        <x:v>Manager 5</x:v>
      </x:c>
      <x:c r="C26" s="3" t="s">
        <x:v>147</x:v>
      </x:c>
      <x:c r="D26" s="3" t="s">
        <x:v>148</x:v>
      </x:c>
      <x:c r="E26" s="3"/>
      <x:c r="F26" s="3"/>
      <x:c r="G26" s="3"/>
      <x:c r="H26" s="3"/>
      <x:c r="I26" s="3"/>
      <x:c r="J26" s="4" t="b">
        <x:v>0</x:v>
      </x:c>
      <x:c r="K26" s="4" t="b">
        <x:v>0</x:v>
      </x:c>
      <x:c r="L26" s="3" t="n">
        <x:f>IF(E26="",0,IF(E26=IFERROR(INDEX(Matches_2!$F:$F,MATCH(C26,Matches_2!$A:$A,0)),""),IF(OR(D26="Round of 32",D26="Round of 16"),3,5),0))</x:f>
        <x:v>0</x:v>
      </x:c>
      <x:c r="M26" s="3" t="n">
        <x:f>IF(OR(D26="Round of 32",D26="Round of 16"),0,IF(E26="",0,IF(AND(F26&lt;&gt;"",G26&lt;&gt;"",F26=IFERROR(INDEX(Matches_2!$G:$G,MATCH(C26,Matches_2!$A:$A,0)),""),G26=IFERROR(INDEX(Matches_2!$H:$H,MATCH(C26,Matches_2!$A:$A,0)),"")),8,0)))</x:f>
        <x:v>0</x:v>
      </x:c>
      <x:c r="N26" s="3">
        <x:v>0</x:v>
      </x:c>
      <x:c r="O26" s="3" t="n">
        <x:f>IF(OR(D26="Round of 32",D26="Round of 16"),0,IF(E26="",0,IF(J26=IFERROR(INDEX(Matches_2!$I:$I,MATCH(C26,Matches_2!$A:$A,0)),""),3,0)))</x:f>
        <x:v>0</x:v>
      </x:c>
      <x:c r="P26" s="3" t="n">
        <x:f>IF(OR(D26="Round of 32",D26="Round of 16"),0,IF(E26="",0,IF(K26=IFERROR(INDEX(Matches_2!$J:$J,MATCH(C26,Matches_2!$A:$A,0)),""),4,0)))</x:f>
        <x:v>0</x:v>
      </x:c>
      <x:c r="Q26" s="3" t="n">
        <x:f t="shared" si="0">SUM(L26:P26)</x:f>
        <x:v>0</x:v>
      </x:c>
      <x:c r="R26" s="3"/>
      <x:c r="S26" s="4" t="b">
        <x:v>0</x:v>
      </x:c>
      <x:c r="T26" s="2"/>
      <x:c r="U26" s="2"/>
      <x:c r="V26" s="2"/>
      <x:c r="W26" s="2"/>
      <x:c r="X26" s="2"/>
      <x:c r="Y26" s="2"/>
      <x:c r="Z26" s="2"/>
    </x:row>
    <x:row r="27">
      <x:c r="A27" s="3" t="s">
        <x:v>26</x:v>
      </x:c>
      <x:c r="B27" s="3" t="str">
        <x:f>IFERROR(INDEX(Managers!$B:$B,MATCH(A27,Managers!$A:$A,0)),"")</x:f>
        <x:v>Manager 6</x:v>
      </x:c>
      <x:c r="C27" s="3" t="s">
        <x:v>134</x:v>
      </x:c>
      <x:c r="D27" s="3" t="s">
        <x:v>135</x:v>
      </x:c>
      <x:c r="E27" s="3"/>
      <x:c r="F27" s="3"/>
      <x:c r="G27" s="3"/>
      <x:c r="H27" s="3"/>
      <x:c r="I27" s="3"/>
      <x:c r="J27" s="4" t="b">
        <x:v>0</x:v>
      </x:c>
      <x:c r="K27" s="4" t="b">
        <x:v>0</x:v>
      </x:c>
      <x:c r="L27" s="3" t="n">
        <x:f>IF(E27="",0,IF(E27=IFERROR(INDEX(Matches_2!$F:$F,MATCH(C27,Matches_2!$A:$A,0)),""),IF(OR(D27="Round of 32",D27="Round of 16"),3,5),0))</x:f>
        <x:v>0</x:v>
      </x:c>
      <x:c r="M27" s="3" t="n">
        <x:f>IF(OR(D27="Round of 32",D27="Round of 16"),0,IF(E27="",0,IF(AND(F27&lt;&gt;"",G27&lt;&gt;"",F27=IFERROR(INDEX(Matches_2!$G:$G,MATCH(C27,Matches_2!$A:$A,0)),""),G27=IFERROR(INDEX(Matches_2!$H:$H,MATCH(C27,Matches_2!$A:$A,0)),"")),8,0)))</x:f>
        <x:v>0</x:v>
      </x:c>
      <x:c r="N27" s="3">
        <x:v>0</x:v>
      </x:c>
      <x:c r="O27" s="3" t="n">
        <x:f>IF(OR(D27="Round of 32",D27="Round of 16"),0,IF(E27="",0,IF(J27=IFERROR(INDEX(Matches_2!$I:$I,MATCH(C27,Matches_2!$A:$A,0)),""),3,0)))</x:f>
        <x:v>0</x:v>
      </x:c>
      <x:c r="P27" s="3" t="n">
        <x:f>IF(OR(D27="Round of 32",D27="Round of 16"),0,IF(E27="",0,IF(K27=IFERROR(INDEX(Matches_2!$J:$J,MATCH(C27,Matches_2!$A:$A,0)),""),4,0)))</x:f>
        <x:v>0</x:v>
      </x:c>
      <x:c r="Q27" s="3" t="n">
        <x:f t="shared" si="0">SUM(L27:P27)</x:f>
        <x:v>0</x:v>
      </x:c>
      <x:c r="R27" s="3"/>
      <x:c r="S27" s="4" t="b">
        <x:v>0</x:v>
      </x:c>
      <x:c r="T27" s="2"/>
      <x:c r="U27" s="2"/>
      <x:c r="V27" s="2"/>
      <x:c r="W27" s="2"/>
      <x:c r="X27" s="2"/>
      <x:c r="Y27" s="2"/>
      <x:c r="Z27" s="2"/>
    </x:row>
    <x:row r="28">
      <x:c r="A28" s="3" t="s">
        <x:v>26</x:v>
      </x:c>
      <x:c r="B28" s="3" t="str">
        <x:f>IFERROR(INDEX(Managers!$B:$B,MATCH(A28,Managers!$A:$A,0)),"")</x:f>
        <x:v>Manager 6</x:v>
      </x:c>
      <x:c r="C28" s="3" t="s">
        <x:v>138</x:v>
      </x:c>
      <x:c r="D28" s="3" t="s">
        <x:v>139</x:v>
      </x:c>
      <x:c r="E28" s="3"/>
      <x:c r="F28" s="3"/>
      <x:c r="G28" s="3"/>
      <x:c r="H28" s="3"/>
      <x:c r="I28" s="3"/>
      <x:c r="J28" s="4" t="b">
        <x:v>0</x:v>
      </x:c>
      <x:c r="K28" s="4" t="b">
        <x:v>0</x:v>
      </x:c>
      <x:c r="L28" s="3" t="n">
        <x:f>IF(E28="",0,IF(E28=IFERROR(INDEX(Matches_2!$F:$F,MATCH(C28,Matches_2!$A:$A,0)),""),IF(OR(D28="Round of 32",D28="Round of 16"),3,5),0))</x:f>
        <x:v>0</x:v>
      </x:c>
      <x:c r="M28" s="3" t="n">
        <x:f>IF(OR(D28="Round of 32",D28="Round of 16"),0,IF(E28="",0,IF(AND(F28&lt;&gt;"",G28&lt;&gt;"",F28=IFERROR(INDEX(Matches_2!$G:$G,MATCH(C28,Matches_2!$A:$A,0)),""),G28=IFERROR(INDEX(Matches_2!$H:$H,MATCH(C28,Matches_2!$A:$A,0)),"")),8,0)))</x:f>
        <x:v>0</x:v>
      </x:c>
      <x:c r="N28" s="3">
        <x:v>0</x:v>
      </x:c>
      <x:c r="O28" s="3" t="n">
        <x:f>IF(OR(D28="Round of 32",D28="Round of 16"),0,IF(E28="",0,IF(J28=IFERROR(INDEX(Matches_2!$I:$I,MATCH(C28,Matches_2!$A:$A,0)),""),3,0)))</x:f>
        <x:v>0</x:v>
      </x:c>
      <x:c r="P28" s="3" t="n">
        <x:f>IF(OR(D28="Round of 32",D28="Round of 16"),0,IF(E28="",0,IF(K28=IFERROR(INDEX(Matches_2!$J:$J,MATCH(C28,Matches_2!$A:$A,0)),""),4,0)))</x:f>
        <x:v>0</x:v>
      </x:c>
      <x:c r="Q28" s="3" t="n">
        <x:f t="shared" si="0">SUM(L28:P28)</x:f>
        <x:v>0</x:v>
      </x:c>
      <x:c r="R28" s="3"/>
      <x:c r="S28" s="4" t="b">
        <x:v>0</x:v>
      </x:c>
      <x:c r="T28" s="2"/>
      <x:c r="U28" s="2"/>
      <x:c r="V28" s="2"/>
      <x:c r="W28" s="2"/>
      <x:c r="X28" s="2"/>
      <x:c r="Y28" s="2"/>
      <x:c r="Z28" s="2"/>
    </x:row>
    <x:row r="29">
      <x:c r="A29" s="3" t="s">
        <x:v>26</x:v>
      </x:c>
      <x:c r="B29" s="3" t="str">
        <x:f>IFERROR(INDEX(Managers!$B:$B,MATCH(A29,Managers!$A:$A,0)),"")</x:f>
        <x:v>Manager 6</x:v>
      </x:c>
      <x:c r="C29" s="3" t="s">
        <x:v>142</x:v>
      </x:c>
      <x:c r="D29" s="3" t="s">
        <x:v>143</x:v>
      </x:c>
      <x:c r="E29" s="3"/>
      <x:c r="F29" s="3"/>
      <x:c r="G29" s="3"/>
      <x:c r="H29" s="3"/>
      <x:c r="I29" s="3"/>
      <x:c r="J29" s="4" t="b">
        <x:v>0</x:v>
      </x:c>
      <x:c r="K29" s="4" t="b">
        <x:v>0</x:v>
      </x:c>
      <x:c r="L29" s="3" t="n">
        <x:f>IF(E29="",0,IF(E29=IFERROR(INDEX(Matches_2!$F:$F,MATCH(C29,Matches_2!$A:$A,0)),""),IF(OR(D29="Round of 32",D29="Round of 16"),3,5),0))</x:f>
        <x:v>0</x:v>
      </x:c>
      <x:c r="M29" s="3" t="n">
        <x:f>IF(OR(D29="Round of 32",D29="Round of 16"),0,IF(E29="",0,IF(AND(F29&lt;&gt;"",G29&lt;&gt;"",F29=IFERROR(INDEX(Matches_2!$G:$G,MATCH(C29,Matches_2!$A:$A,0)),""),G29=IFERROR(INDEX(Matches_2!$H:$H,MATCH(C29,Matches_2!$A:$A,0)),"")),8,0)))</x:f>
        <x:v>0</x:v>
      </x:c>
      <x:c r="N29" s="3">
        <x:v>0</x:v>
      </x:c>
      <x:c r="O29" s="3" t="n">
        <x:f>IF(OR(D29="Round of 32",D29="Round of 16"),0,IF(E29="",0,IF(J29=IFERROR(INDEX(Matches_2!$I:$I,MATCH(C29,Matches_2!$A:$A,0)),""),3,0)))</x:f>
        <x:v>0</x:v>
      </x:c>
      <x:c r="P29" s="3" t="n">
        <x:f>IF(OR(D29="Round of 32",D29="Round of 16"),0,IF(E29="",0,IF(K29=IFERROR(INDEX(Matches_2!$J:$J,MATCH(C29,Matches_2!$A:$A,0)),""),4,0)))</x:f>
        <x:v>0</x:v>
      </x:c>
      <x:c r="Q29" s="3" t="n">
        <x:f t="shared" si="0">SUM(L29:P29)</x:f>
        <x:v>0</x:v>
      </x:c>
      <x:c r="R29" s="3"/>
      <x:c r="S29" s="4" t="b">
        <x:v>0</x:v>
      </x:c>
      <x:c r="T29" s="2"/>
      <x:c r="U29" s="2"/>
      <x:c r="V29" s="2"/>
      <x:c r="W29" s="2"/>
      <x:c r="X29" s="2"/>
      <x:c r="Y29" s="2"/>
      <x:c r="Z29" s="2"/>
    </x:row>
    <x:row r="30">
      <x:c r="A30" s="3" t="s">
        <x:v>26</x:v>
      </x:c>
      <x:c r="B30" s="3" t="str">
        <x:f>IFERROR(INDEX(Managers!$B:$B,MATCH(A30,Managers!$A:$A,0)),"")</x:f>
        <x:v>Manager 6</x:v>
      </x:c>
      <x:c r="C30" s="3" t="s">
        <x:v>145</x:v>
      </x:c>
      <x:c r="D30" s="3" t="s">
        <x:v>146</x:v>
      </x:c>
      <x:c r="E30" s="3"/>
      <x:c r="F30" s="3"/>
      <x:c r="G30" s="3"/>
      <x:c r="H30" s="3"/>
      <x:c r="I30" s="3"/>
      <x:c r="J30" s="4" t="b">
        <x:v>0</x:v>
      </x:c>
      <x:c r="K30" s="4" t="b">
        <x:v>0</x:v>
      </x:c>
      <x:c r="L30" s="3" t="n">
        <x:f>IF(E30="",0,IF(E30=IFERROR(INDEX(Matches_2!$F:$F,MATCH(C30,Matches_2!$A:$A,0)),""),IF(OR(D30="Round of 32",D30="Round of 16"),3,5),0))</x:f>
        <x:v>0</x:v>
      </x:c>
      <x:c r="M30" s="3" t="n">
        <x:f>IF(OR(D30="Round of 32",D30="Round of 16"),0,IF(E30="",0,IF(AND(F30&lt;&gt;"",G30&lt;&gt;"",F30=IFERROR(INDEX(Matches_2!$G:$G,MATCH(C30,Matches_2!$A:$A,0)),""),G30=IFERROR(INDEX(Matches_2!$H:$H,MATCH(C30,Matches_2!$A:$A,0)),"")),8,0)))</x:f>
        <x:v>0</x:v>
      </x:c>
      <x:c r="N30" s="3">
        <x:v>0</x:v>
      </x:c>
      <x:c r="O30" s="3" t="n">
        <x:f>IF(OR(D30="Round of 32",D30="Round of 16"),0,IF(E30="",0,IF(J30=IFERROR(INDEX(Matches_2!$I:$I,MATCH(C30,Matches_2!$A:$A,0)),""),3,0)))</x:f>
        <x:v>0</x:v>
      </x:c>
      <x:c r="P30" s="3" t="n">
        <x:f>IF(OR(D30="Round of 32",D30="Round of 16"),0,IF(E30="",0,IF(K30=IFERROR(INDEX(Matches_2!$J:$J,MATCH(C30,Matches_2!$A:$A,0)),""),4,0)))</x:f>
        <x:v>0</x:v>
      </x:c>
      <x:c r="Q30" s="3" t="n">
        <x:f t="shared" si="0">SUM(L30:P30)</x:f>
        <x:v>0</x:v>
      </x:c>
      <x:c r="R30" s="3"/>
      <x:c r="S30" s="4" t="b">
        <x:v>0</x:v>
      </x:c>
      <x:c r="T30" s="2"/>
      <x:c r="U30" s="2"/>
      <x:c r="V30" s="2"/>
      <x:c r="W30" s="2"/>
      <x:c r="X30" s="2"/>
      <x:c r="Y30" s="2"/>
      <x:c r="Z30" s="2"/>
    </x:row>
    <x:row r="31">
      <x:c r="A31" s="3" t="s">
        <x:v>26</x:v>
      </x:c>
      <x:c r="B31" s="3" t="str">
        <x:f>IFERROR(INDEX(Managers!$B:$B,MATCH(A31,Managers!$A:$A,0)),"")</x:f>
        <x:v>Manager 6</x:v>
      </x:c>
      <x:c r="C31" s="3" t="s">
        <x:v>147</x:v>
      </x:c>
      <x:c r="D31" s="3" t="s">
        <x:v>148</x:v>
      </x:c>
      <x:c r="E31" s="3"/>
      <x:c r="F31" s="3"/>
      <x:c r="G31" s="3"/>
      <x:c r="H31" s="3"/>
      <x:c r="I31" s="3"/>
      <x:c r="J31" s="4" t="b">
        <x:v>0</x:v>
      </x:c>
      <x:c r="K31" s="4" t="b">
        <x:v>0</x:v>
      </x:c>
      <x:c r="L31" s="3" t="n">
        <x:f>IF(E31="",0,IF(E31=IFERROR(INDEX(Matches_2!$F:$F,MATCH(C31,Matches_2!$A:$A,0)),""),IF(OR(D31="Round of 32",D31="Round of 16"),3,5),0))</x:f>
        <x:v>0</x:v>
      </x:c>
      <x:c r="M31" s="3" t="n">
        <x:f>IF(OR(D31="Round of 32",D31="Round of 16"),0,IF(E31="",0,IF(AND(F31&lt;&gt;"",G31&lt;&gt;"",F31=IFERROR(INDEX(Matches_2!$G:$G,MATCH(C31,Matches_2!$A:$A,0)),""),G31=IFERROR(INDEX(Matches_2!$H:$H,MATCH(C31,Matches_2!$A:$A,0)),"")),8,0)))</x:f>
        <x:v>0</x:v>
      </x:c>
      <x:c r="N31" s="3">
        <x:v>0</x:v>
      </x:c>
      <x:c r="O31" s="3" t="n">
        <x:f>IF(OR(D31="Round of 32",D31="Round of 16"),0,IF(E31="",0,IF(J31=IFERROR(INDEX(Matches_2!$I:$I,MATCH(C31,Matches_2!$A:$A,0)),""),3,0)))</x:f>
        <x:v>0</x:v>
      </x:c>
      <x:c r="P31" s="3" t="n">
        <x:f>IF(OR(D31="Round of 32",D31="Round of 16"),0,IF(E31="",0,IF(K31=IFERROR(INDEX(Matches_2!$J:$J,MATCH(C31,Matches_2!$A:$A,0)),""),4,0)))</x:f>
        <x:v>0</x:v>
      </x:c>
      <x:c r="Q31" s="3" t="n">
        <x:f t="shared" si="0">SUM(L31:P31)</x:f>
        <x:v>0</x:v>
      </x:c>
      <x:c r="R31" s="3"/>
      <x:c r="S31" s="4" t="b">
        <x:v>0</x:v>
      </x:c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dataValidations count="4">
    <x:dataValidation type="list" sqref="D2:D500">
      <x:formula1>"Round of 32,Round of 16,Quarterfinal,Semifinal,Final"</x:formula1>
    </x:dataValidation>
    <x:dataValidation type="list" sqref="E2:E500">
      <x:formula1>"Team_A,Team_B"</x:formula1>
    </x:dataValidation>
    <x:dataValidation type="list" sqref="J2:K500">
      <x:formula1>"TRUE,FALSE"</x:formula1>
    </x:dataValidation>
    <x:dataValidation type="list" sqref="S2:S500">
      <x:formula1>"TRUE,FALSE"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3.800000190734863"/>
  <x:cols>
    <x:col min="1" max="1" width="4.039999961853027" hidden="0" customWidth="1"/>
    <x:col min="2" max="2" width="9.960000038146973" hidden="0" customWidth="1"/>
    <x:col min="3" max="3" width="13.1899995803833" hidden="0" customWidth="1"/>
    <x:col min="4" max="4" width="16.549999237060547" hidden="0" customWidth="1"/>
    <x:col min="5" max="5" width="24.899999618530273" hidden="0" customWidth="1"/>
    <x:col min="6" max="6" width="10.09000015258789" hidden="0" customWidth="1"/>
    <x:col min="7" max="7" width="12.109999656677246" hidden="0" customWidth="1"/>
    <x:col min="8" max="8" width="9.960000038146973" hidden="0" customWidth="1"/>
  </x:cols>
  <x:sheetData>
    <x:row r="1" ht="22.350000381469727" customHeight="1">
      <x:c r="A1" s="40" t="s">
        <x:v>53</x:v>
      </x:c>
      <x:c r="B1" s="40" t="s">
        <x:v>0</x:v>
      </x:c>
      <x:c r="C1" s="40" t="s">
        <x:v>1</x:v>
      </x:c>
      <x:c r="D1" s="40" t="s">
        <x:v>162</x:v>
      </x:c>
      <x:c r="E1" s="40" t="s">
        <x:v>163</x:v>
      </x:c>
      <x:c r="F1" s="40" t="s">
        <x:v>164</x:v>
      </x:c>
      <x:c r="G1" s="40" t="s">
        <x:v>165</x:v>
      </x:c>
      <x:c r="H1" s="40" t="s">
        <x:v>161</x:v>
      </x:c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3" t="n">
        <x:f t="shared" ref="A2:A7" si="0">RANK(H2,$H$2:$H$20,0)</x:f>
        <x:v>1</x:v>
      </x:c>
      <x:c r="B2" s="3" t="s">
        <x:v>6</x:v>
      </x:c>
      <x:c r="C2" s="3" t="s">
        <x:v>7</x:v>
      </x:c>
      <x:c r="D2" s="3" t="n">
        <x:f>SUMIFS(Leaderboard_1!$D:$D,Leaderboard_1!$B:$B,B2)</x:f>
        <x:v>0</x:v>
      </x:c>
      <x:c r="E2" s="3" t="n">
        <x:f>SUMIFS(Predictions_2!$Q:$Q,Predictions_2!$A:$A,B2)</x:f>
        <x:v>0</x:v>
      </x:c>
      <x:c r="F2" s="3" t="n">
        <x:f>SUMIFS(Draft_Board!$I:$I,Draft_Board!$A:$A,B2)</x:f>
        <x:v>0</x:v>
      </x:c>
      <x:c r="G2" s="3" t="n">
        <x:f>SUMIFS(Futures!$K:$K,Futures!$A:$A,B2)</x:f>
        <x:v>0</x:v>
      </x:c>
      <x:c r="H2" s="3" t="n">
        <x:f t="shared" ref="H2:H7" si="1">SUM(D2:G2)</x:f>
        <x:v>0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">
        <x:f t="shared" si="0"/>
        <x:v>1</x:v>
      </x:c>
      <x:c r="B3" s="3" t="s">
        <x:v>10</x:v>
      </x:c>
      <x:c r="C3" s="3" t="s">
        <x:v>11</x:v>
      </x:c>
      <x:c r="D3" s="3" t="n">
        <x:f>SUMIFS(Leaderboard_1!$D:$D,Leaderboard_1!$B:$B,B3)</x:f>
        <x:v>0</x:v>
      </x:c>
      <x:c r="E3" s="3" t="n">
        <x:f>SUMIFS(Predictions_2!$Q:$Q,Predictions_2!$A:$A,B3)</x:f>
        <x:v>0</x:v>
      </x:c>
      <x:c r="F3" s="3" t="n">
        <x:f>SUMIFS(Draft_Board!$I:$I,Draft_Board!$A:$A,B3)</x:f>
        <x:v>0</x:v>
      </x:c>
      <x:c r="G3" s="3" t="n">
        <x:f>SUMIFS(Futures!$K:$K,Futures!$A:$A,B3)</x:f>
        <x:v>0</x:v>
      </x:c>
      <x:c r="H3" s="3">
        <x:f t="shared" si="1"/>
        <x:v>0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">
        <x:f t="shared" si="0"/>
        <x:v>1</x:v>
      </x:c>
      <x:c r="B4" s="3" t="s">
        <x:v>14</x:v>
      </x:c>
      <x:c r="C4" s="3" t="s">
        <x:v>15</x:v>
      </x:c>
      <x:c r="D4" s="3" t="n">
        <x:f>SUMIFS(Leaderboard_1!$D:$D,Leaderboard_1!$B:$B,B4)</x:f>
        <x:v>0</x:v>
      </x:c>
      <x:c r="E4" s="3" t="n">
        <x:f>SUMIFS(Predictions_2!$Q:$Q,Predictions_2!$A:$A,B4)</x:f>
        <x:v>0</x:v>
      </x:c>
      <x:c r="F4" s="3" t="n">
        <x:f>SUMIFS(Draft_Board!$I:$I,Draft_Board!$A:$A,B4)</x:f>
        <x:v>0</x:v>
      </x:c>
      <x:c r="G4" s="3" t="n">
        <x:f>SUMIFS(Futures!$K:$K,Futures!$A:$A,B4)</x:f>
        <x:v>0</x:v>
      </x:c>
      <x:c r="H4" s="3">
        <x:f t="shared" si="1"/>
        <x:v>0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">
        <x:f t="shared" si="0"/>
        <x:v>1</x:v>
      </x:c>
      <x:c r="B5" s="3" t="s">
        <x:v>18</x:v>
      </x:c>
      <x:c r="C5" s="3" t="s">
        <x:v>19</x:v>
      </x:c>
      <x:c r="D5" s="3" t="n">
        <x:f>SUMIFS(Leaderboard_1!$D:$D,Leaderboard_1!$B:$B,B5)</x:f>
        <x:v>0</x:v>
      </x:c>
      <x:c r="E5" s="3" t="n">
        <x:f>SUMIFS(Predictions_2!$Q:$Q,Predictions_2!$A:$A,B5)</x:f>
        <x:v>0</x:v>
      </x:c>
      <x:c r="F5" s="3" t="n">
        <x:f>SUMIFS(Draft_Board!$I:$I,Draft_Board!$A:$A,B5)</x:f>
        <x:v>0</x:v>
      </x:c>
      <x:c r="G5" s="3" t="n">
        <x:f>SUMIFS(Futures!$K:$K,Futures!$A:$A,B5)</x:f>
        <x:v>0</x:v>
      </x:c>
      <x:c r="H5" s="3">
        <x:f t="shared" si="1"/>
        <x:v>0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">
        <x:f t="shared" si="0"/>
        <x:v>1</x:v>
      </x:c>
      <x:c r="B6" s="3" t="s">
        <x:v>22</x:v>
      </x:c>
      <x:c r="C6" s="3" t="s">
        <x:v>23</x:v>
      </x:c>
      <x:c r="D6" s="3" t="n">
        <x:f>SUMIFS(Leaderboard_1!$D:$D,Leaderboard_1!$B:$B,B6)</x:f>
        <x:v>0</x:v>
      </x:c>
      <x:c r="E6" s="3" t="n">
        <x:f>SUMIFS(Predictions_2!$Q:$Q,Predictions_2!$A:$A,B6)</x:f>
        <x:v>0</x:v>
      </x:c>
      <x:c r="F6" s="3" t="n">
        <x:f>SUMIFS(Draft_Board!$I:$I,Draft_Board!$A:$A,B6)</x:f>
        <x:v>0</x:v>
      </x:c>
      <x:c r="G6" s="3" t="n">
        <x:f>SUMIFS(Futures!$K:$K,Futures!$A:$A,B6)</x:f>
        <x:v>0</x:v>
      </x:c>
      <x:c r="H6" s="3">
        <x:f t="shared" si="1"/>
        <x:v>0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">
        <x:f t="shared" si="0"/>
        <x:v>1</x:v>
      </x:c>
      <x:c r="B7" s="3" t="s">
        <x:v>26</x:v>
      </x:c>
      <x:c r="C7" s="3" t="s">
        <x:v>27</x:v>
      </x:c>
      <x:c r="D7" s="3" t="n">
        <x:f>SUMIFS(Leaderboard_1!$D:$D,Leaderboard_1!$B:$B,B7)</x:f>
        <x:v>0</x:v>
      </x:c>
      <x:c r="E7" s="3" t="n">
        <x:f>SUMIFS(Predictions_2!$Q:$Q,Predictions_2!$A:$A,B7)</x:f>
        <x:v>0</x:v>
      </x:c>
      <x:c r="F7" s="3" t="n">
        <x:f>SUMIFS(Draft_Board!$I:$I,Draft_Board!$A:$A,B7)</x:f>
        <x:v>0</x:v>
      </x:c>
      <x:c r="G7" s="3" t="n">
        <x:f>SUMIFS(Futures!$K:$K,Futures!$A:$A,B7)</x:f>
        <x:v>0</x:v>
      </x:c>
      <x:c r="H7" s="3">
        <x:f t="shared" si="1"/>
        <x:v>0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3.800000190734863"/>
  <x:cols>
    <x:col min="1" max="1" width="3.630000114440918" hidden="0" customWidth="1"/>
    <x:col min="2" max="2" width="12.789999961853027" hidden="0" customWidth="1"/>
    <x:col min="3" max="3" width="9.829999923706055" hidden="0" customWidth="1"/>
    <x:col min="4" max="4" width="16.149999618530273" hidden="0" customWidth="1"/>
    <x:col min="5" max="5" width="24.760000228881836" hidden="0" customWidth="1"/>
    <x:col min="6" max="6" width="9.960000038146973" hidden="0" customWidth="1"/>
    <x:col min="7" max="7" width="11.979999542236328" hidden="0" customWidth="1"/>
    <x:col min="8" max="8" width="10.630000114440918" hidden="0" customWidth="1"/>
  </x:cols>
  <x:sheetData>
    <x:row r="1" ht="22.350000381469727" customHeight="1">
      <x:c r="A1" s="40" t="s">
        <x:v>166</x:v>
      </x:c>
      <x:c r="B1" s="40" t="s">
        <x:v>167</x:v>
      </x:c>
      <x:c r="C1" s="40" t="s">
        <x:v>168</x:v>
      </x:c>
      <x:c r="D1" s="40" t="s">
        <x:v>169</x:v>
      </x:c>
      <x:c r="E1" s="40" t="s">
        <x:v>170</x:v>
      </x:c>
      <x:c r="F1" s="40" t="s">
        <x:v>171</x:v>
      </x:c>
      <x:c r="G1" s="40" t="s">
        <x:v>172</x:v>
      </x:c>
      <x:c r="H1" s="40" t="s">
        <x:v>173</x:v>
      </x:c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3" t="n">
        <x:f>Leaderboard_2!A2</x:f>
        <x:v>1</x:v>
      </x:c>
      <x:c r="B2" s="3" t="str">
        <x:f>Leaderboard_2!C2</x:f>
        <x:v>Manager 1</x:v>
      </x:c>
      <x:c r="C2" s="3" t="n">
        <x:f>Leaderboard_2!H2</x:f>
        <x:v>0</x:v>
      </x:c>
      <x:c r="D2" s="3" t="n">
        <x:f>Leaderboard_2!D2</x:f>
        <x:v>0</x:v>
      </x:c>
      <x:c r="E2" s="3" t="n">
        <x:f>Leaderboard_2!E2</x:f>
        <x:v>0</x:v>
      </x:c>
      <x:c r="F2" s="3" t="n">
        <x:f>Leaderboard_2!F2</x:f>
        <x:v>0</x:v>
      </x:c>
      <x:c r="G2" s="3" t="n">
        <x:f>Leaderboard_2!G2</x:f>
        <x:v>0</x:v>
      </x:c>
      <x:c r="H2" s="30" t="n">
        <x:f t="shared" ref="H2:H7" si="0">TEXT(NOW(),"yyyy-mm-dd""T""hh:mm:ss")&amp;"Z"</x:f>
        <x:v>46183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3" t="n">
        <x:f>Leaderboard_2!A3</x:f>
        <x:v>1</x:v>
      </x:c>
      <x:c r="B3" s="3" t="str">
        <x:f>Leaderboard_2!C3</x:f>
        <x:v>Manager 2</x:v>
      </x:c>
      <x:c r="C3" s="3" t="n">
        <x:f>Leaderboard_2!H3</x:f>
        <x:v>0</x:v>
      </x:c>
      <x:c r="D3" s="3" t="n">
        <x:f>Leaderboard_2!D3</x:f>
        <x:v>0</x:v>
      </x:c>
      <x:c r="E3" s="3" t="n">
        <x:f>Leaderboard_2!E3</x:f>
        <x:v>0</x:v>
      </x:c>
      <x:c r="F3" s="3" t="n">
        <x:f>Leaderboard_2!F3</x:f>
        <x:v>0</x:v>
      </x:c>
      <x:c r="G3" s="3" t="n">
        <x:f>Leaderboard_2!G3</x:f>
        <x:v>0</x:v>
      </x:c>
      <x:c r="H3" s="30" t="n">
        <x:f t="shared" si="0">TEXT(NOW(),"yyyy-mm-dd""T""hh:mm:ss")&amp;"Z"</x:f>
        <x:v>46183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" t="n">
        <x:f>Leaderboard_2!A4</x:f>
        <x:v>1</x:v>
      </x:c>
      <x:c r="B4" s="3" t="str">
        <x:f>Leaderboard_2!C4</x:f>
        <x:v>Manager 3</x:v>
      </x:c>
      <x:c r="C4" s="3" t="n">
        <x:f>Leaderboard_2!H4</x:f>
        <x:v>0</x:v>
      </x:c>
      <x:c r="D4" s="3" t="n">
        <x:f>Leaderboard_2!D4</x:f>
        <x:v>0</x:v>
      </x:c>
      <x:c r="E4" s="3" t="n">
        <x:f>Leaderboard_2!E4</x:f>
        <x:v>0</x:v>
      </x:c>
      <x:c r="F4" s="3" t="n">
        <x:f>Leaderboard_2!F4</x:f>
        <x:v>0</x:v>
      </x:c>
      <x:c r="G4" s="3" t="n">
        <x:f>Leaderboard_2!G4</x:f>
        <x:v>0</x:v>
      </x:c>
      <x:c r="H4" s="30" t="n">
        <x:f t="shared" si="0">TEXT(NOW(),"yyyy-mm-dd""T""hh:mm:ss")&amp;"Z"</x:f>
        <x:v>46183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" t="n">
        <x:f>Leaderboard_2!A5</x:f>
        <x:v>1</x:v>
      </x:c>
      <x:c r="B5" s="3" t="str">
        <x:f>Leaderboard_2!C5</x:f>
        <x:v>Manager 4</x:v>
      </x:c>
      <x:c r="C5" s="3" t="n">
        <x:f>Leaderboard_2!H5</x:f>
        <x:v>0</x:v>
      </x:c>
      <x:c r="D5" s="3" t="n">
        <x:f>Leaderboard_2!D5</x:f>
        <x:v>0</x:v>
      </x:c>
      <x:c r="E5" s="3" t="n">
        <x:f>Leaderboard_2!E5</x:f>
        <x:v>0</x:v>
      </x:c>
      <x:c r="F5" s="3" t="n">
        <x:f>Leaderboard_2!F5</x:f>
        <x:v>0</x:v>
      </x:c>
      <x:c r="G5" s="3" t="n">
        <x:f>Leaderboard_2!G5</x:f>
        <x:v>0</x:v>
      </x:c>
      <x:c r="H5" s="30" t="n">
        <x:f t="shared" si="0">TEXT(NOW(),"yyyy-mm-dd""T""hh:mm:ss")&amp;"Z"</x:f>
        <x:v>46183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" t="n">
        <x:f>Leaderboard_2!A6</x:f>
        <x:v>1</x:v>
      </x:c>
      <x:c r="B6" s="3" t="str">
        <x:f>Leaderboard_2!C6</x:f>
        <x:v>Manager 5</x:v>
      </x:c>
      <x:c r="C6" s="3" t="n">
        <x:f>Leaderboard_2!H6</x:f>
        <x:v>0</x:v>
      </x:c>
      <x:c r="D6" s="3" t="n">
        <x:f>Leaderboard_2!D6</x:f>
        <x:v>0</x:v>
      </x:c>
      <x:c r="E6" s="3" t="n">
        <x:f>Leaderboard_2!E6</x:f>
        <x:v>0</x:v>
      </x:c>
      <x:c r="F6" s="3" t="n">
        <x:f>Leaderboard_2!F6</x:f>
        <x:v>0</x:v>
      </x:c>
      <x:c r="G6" s="3" t="n">
        <x:f>Leaderboard_2!G6</x:f>
        <x:v>0</x:v>
      </x:c>
      <x:c r="H6" s="30" t="n">
        <x:f t="shared" si="0">TEXT(NOW(),"yyyy-mm-dd""T""hh:mm:ss")&amp;"Z"</x:f>
        <x:v>46183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" t="n">
        <x:f>Leaderboard_2!A7</x:f>
        <x:v>1</x:v>
      </x:c>
      <x:c r="B7" s="3" t="str">
        <x:f>Leaderboard_2!C7</x:f>
        <x:v>Manager 6</x:v>
      </x:c>
      <x:c r="C7" s="3" t="n">
        <x:f>Leaderboard_2!H7</x:f>
        <x:v>0</x:v>
      </x:c>
      <x:c r="D7" s="3" t="n">
        <x:f>Leaderboard_2!D7</x:f>
        <x:v>0</x:v>
      </x:c>
      <x:c r="E7" s="3" t="n">
        <x:f>Leaderboard_2!E7</x:f>
        <x:v>0</x:v>
      </x:c>
      <x:c r="F7" s="3" t="n">
        <x:f>Leaderboard_2!F7</x:f>
        <x:v>0</x:v>
      </x:c>
      <x:c r="G7" s="3" t="n">
        <x:f>Leaderboard_2!G7</x:f>
        <x:v>0</x:v>
      </x:c>
      <x:c r="H7" s="30" t="n">
        <x:f t="shared" si="0">TEXT(NOW(),"yyyy-mm-dd""T""hh:mm:ss")&amp;"Z"</x:f>
        <x:v>46183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pageMargins left="0.7" right="0.7" top="0.75" bottom="0.75" header="0.3" footer="0.3"/>
</x:worksheet>
</file>