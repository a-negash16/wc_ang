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ing_Constants" sheetId="1" state="visible" r:id="rId1"/>
    <sheet name="Managers" sheetId="2" state="visible" r:id="rId2"/>
    <sheet name="Matches_1" sheetId="3" state="visible" r:id="rId3"/>
    <sheet name="Predictions_1" sheetId="4" state="visible" r:id="rId4"/>
    <sheet name="Leaderboard_1" sheetId="5" state="visible" r:id="rId5"/>
    <sheet name="DE_Teams" sheetId="6" state="visible" r:id="rId6"/>
    <sheet name="DE_Players" sheetId="7" state="visible" r:id="rId7"/>
    <sheet name="Draft_Board" sheetId="8" state="visible" r:id="rId8"/>
    <sheet name="Futures" sheetId="9" state="visible" r:id="rId9"/>
    <sheet name="Matches_2" sheetId="10" state="visible" r:id="rId10"/>
    <sheet name="Predictions_2" sheetId="11" state="visible" r:id="rId11"/>
    <sheet name="Leaderboard_2" sheetId="12" state="visible" r:id="rId12"/>
    <sheet name="Landing_CSV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i val="1"/>
      <color rgb="001F4E78"/>
    </font>
    <font>
      <b val="1"/>
      <color rgb="00FFFFFF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3" customWidth="1" min="1" max="1"/>
    <col width="22" customWidth="1" min="2" max="2"/>
    <col width="43" customWidth="1" min="3" max="3"/>
  </cols>
  <sheetData>
    <row r="1">
      <c r="A1" s="1" t="inlineStr">
        <is>
          <t>Constant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--- Group Stage ---</t>
        </is>
      </c>
    </row>
    <row r="3">
      <c r="A3" t="inlineStr">
        <is>
          <t>GS_Winner_Pts</t>
        </is>
      </c>
      <c r="B3" t="n">
        <v>3</v>
      </c>
      <c r="C3" t="inlineStr">
        <is>
          <t>Correct winner pick</t>
        </is>
      </c>
    </row>
    <row r="4">
      <c r="A4" t="inlineStr">
        <is>
          <t>GS_Draw_Pts</t>
        </is>
      </c>
      <c r="B4" t="n">
        <v>5</v>
      </c>
      <c r="C4" t="inlineStr">
        <is>
          <t>Correct draw pick</t>
        </is>
      </c>
    </row>
    <row r="5">
      <c r="A5" s="2" t="inlineStr">
        <is>
          <t>--- Knockout Predictions (R32 onward) ---</t>
        </is>
      </c>
    </row>
    <row r="6">
      <c r="A6" t="inlineStr">
        <is>
          <t>KO_Winner_Pts</t>
        </is>
      </c>
      <c r="B6" t="n">
        <v>5</v>
      </c>
      <c r="C6" t="inlineStr">
        <is>
          <t>Correct match winner</t>
        </is>
      </c>
    </row>
    <row r="7">
      <c r="A7" t="inlineStr">
        <is>
          <t>KO_Scorer_Pts</t>
        </is>
      </c>
      <c r="B7" t="n">
        <v>3</v>
      </c>
      <c r="C7" t="inlineStr">
        <is>
          <t>Per correct goal scorer (max 2 per match)</t>
        </is>
      </c>
    </row>
    <row r="8">
      <c r="A8" t="inlineStr">
        <is>
          <t>KO_Length_Pts</t>
        </is>
      </c>
      <c r="B8" t="n">
        <v>2</v>
      </c>
      <c r="C8" t="inlineStr">
        <is>
          <t>Correct match length: 90 / ET / Pens</t>
        </is>
      </c>
    </row>
    <row r="9">
      <c r="A9" s="2" t="inlineStr">
        <is>
          <t>--- Drafted Teams (cumulative) ---</t>
        </is>
      </c>
    </row>
    <row r="10">
      <c r="A10" t="inlineStr">
        <is>
          <t>Team_R16_Pts</t>
        </is>
      </c>
      <c r="B10" t="n">
        <v>10</v>
      </c>
      <c r="C10" t="inlineStr">
        <is>
          <t>Bonus when team reaches Round of 16</t>
        </is>
      </c>
    </row>
    <row r="11">
      <c r="A11" t="inlineStr">
        <is>
          <t>Team_QF_Pts</t>
        </is>
      </c>
      <c r="B11" t="n">
        <v>20</v>
      </c>
      <c r="C11" t="inlineStr">
        <is>
          <t>Bonus when team reaches QF</t>
        </is>
      </c>
    </row>
    <row r="12">
      <c r="A12" t="inlineStr">
        <is>
          <t>Team_SF_Pts</t>
        </is>
      </c>
      <c r="B12" t="n">
        <v>30</v>
      </c>
      <c r="C12" t="inlineStr">
        <is>
          <t>Bonus when team reaches SF</t>
        </is>
      </c>
    </row>
    <row r="13">
      <c r="A13" t="inlineStr">
        <is>
          <t>Team_Final_Pts</t>
        </is>
      </c>
      <c r="B13" t="n">
        <v>40</v>
      </c>
      <c r="C13" t="inlineStr">
        <is>
          <t>Bonus when team reaches Final</t>
        </is>
      </c>
    </row>
    <row r="14">
      <c r="A14" t="inlineStr">
        <is>
          <t>Team_Champion_Pts</t>
        </is>
      </c>
      <c r="B14" t="n">
        <v>50</v>
      </c>
      <c r="C14" t="inlineStr">
        <is>
          <t>Bonus when team wins the Cup</t>
        </is>
      </c>
    </row>
    <row r="15">
      <c r="A15" s="2" t="inlineStr">
        <is>
          <t>--- Drafted Players (per occurrence) ---</t>
        </is>
      </c>
    </row>
    <row r="16">
      <c r="A16" t="inlineStr">
        <is>
          <t>Player_Goal_Pts</t>
        </is>
      </c>
      <c r="B16" t="n">
        <v>5</v>
      </c>
      <c r="C16" t="inlineStr">
        <is>
          <t>Per goal</t>
        </is>
      </c>
    </row>
    <row r="17">
      <c r="A17" t="inlineStr">
        <is>
          <t>Player_Assist_Pts</t>
        </is>
      </c>
      <c r="B17" t="n">
        <v>3</v>
      </c>
      <c r="C17" t="inlineStr">
        <is>
          <t>Per assist</t>
        </is>
      </c>
    </row>
    <row r="18">
      <c r="A18" t="inlineStr">
        <is>
          <t>Player_MOTM_Pts</t>
        </is>
      </c>
      <c r="B18" t="n">
        <v>7</v>
      </c>
      <c r="C18" t="inlineStr">
        <is>
          <t>Per Man of the Match</t>
        </is>
      </c>
    </row>
    <row r="19">
      <c r="A19" t="inlineStr">
        <is>
          <t>Player_CleanSheet_Pts</t>
        </is>
      </c>
      <c r="B19" t="n">
        <v>3</v>
      </c>
      <c r="C19" t="inlineStr">
        <is>
          <t>Per clean sheet (GK &amp; CB only)</t>
        </is>
      </c>
    </row>
    <row r="20">
      <c r="A20" t="inlineStr">
        <is>
          <t>Player_PenaltySave_Pts</t>
        </is>
      </c>
      <c r="B20" t="n">
        <v>10</v>
      </c>
      <c r="C20" t="inlineStr">
        <is>
          <t>Per penalty save (GK only)</t>
        </is>
      </c>
    </row>
    <row r="21">
      <c r="A21" s="2" t="inlineStr">
        <is>
          <t>--- Futures (locked at draft) ---</t>
        </is>
      </c>
    </row>
    <row r="22">
      <c r="A22" t="inlineStr">
        <is>
          <t>Futures_Champion_Pts</t>
        </is>
      </c>
      <c r="B22" t="n">
        <v>100</v>
      </c>
      <c r="C22" t="inlineStr">
        <is>
          <t>Correct champion</t>
        </is>
      </c>
    </row>
    <row r="23">
      <c r="A23" t="inlineStr">
        <is>
          <t>Futures_Finalist_Pts</t>
        </is>
      </c>
      <c r="B23" t="n">
        <v>50</v>
      </c>
      <c r="C23" t="inlineStr">
        <is>
          <t>Per correct finalist (2 picks)</t>
        </is>
      </c>
    </row>
    <row r="24">
      <c r="A24" t="inlineStr">
        <is>
          <t>Futures_GoldenBoot_Pts</t>
        </is>
      </c>
      <c r="B24" t="n">
        <v>150</v>
      </c>
      <c r="C24" t="inlineStr">
        <is>
          <t>Correct Golden Boot winner</t>
        </is>
      </c>
    </row>
    <row r="25">
      <c r="A25" t="inlineStr">
        <is>
          <t>Futures_POT_Pts</t>
        </is>
      </c>
      <c r="B25" t="n">
        <v>150</v>
      </c>
      <c r="C25" t="inlineStr">
        <is>
          <t>Correct Player of Tournament</t>
        </is>
      </c>
    </row>
    <row r="26">
      <c r="A26" s="2" t="inlineStr">
        <is>
          <t>--- System ---</t>
        </is>
      </c>
    </row>
    <row r="27">
      <c r="A27" t="inlineStr">
        <is>
          <t>Last_Updated</t>
        </is>
      </c>
      <c r="B27" t="inlineStr">
        <is>
          <t>2026-06-10T00:00:00Z</t>
        </is>
      </c>
      <c r="C27" t="inlineStr">
        <is>
          <t>Commissioner edits before each CSV export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8" customWidth="1" min="4" max="4"/>
    <col width="7" customWidth="1" min="5" max="5"/>
    <col width="2" customWidth="1" min="6" max="6"/>
    <col width="6" customWidth="1" min="7" max="7"/>
    <col width="50" customWidth="1" min="8" max="8"/>
  </cols>
  <sheetData>
    <row r="1">
      <c r="A1" s="1" t="inlineStr">
        <is>
          <t>Manager_ID</t>
        </is>
      </c>
      <c r="B1" s="1" t="inlineStr">
        <is>
          <t>Manager_Name</t>
        </is>
      </c>
      <c r="C1" s="1" t="inlineStr">
        <is>
          <t>Display_Name</t>
        </is>
      </c>
      <c r="D1" s="1" t="inlineStr">
        <is>
          <t>Active</t>
        </is>
      </c>
      <c r="E1" s="1" t="inlineStr">
        <is>
          <t>Notes</t>
        </is>
      </c>
      <c r="F1" s="1" t="inlineStr"/>
      <c r="G1" s="1" t="inlineStr">
        <is>
          <t>Step</t>
        </is>
      </c>
      <c r="H1" s="1" t="inlineStr">
        <is>
          <t>Commissioner Workflow</t>
        </is>
      </c>
    </row>
    <row r="2">
      <c r="A2" t="inlineStr">
        <is>
          <t>M001</t>
        </is>
      </c>
      <c r="B2" t="inlineStr">
        <is>
          <t>Manager 1</t>
        </is>
      </c>
      <c r="C2" t="inlineStr">
        <is>
          <t>Manager 1</t>
        </is>
      </c>
      <c r="D2" t="b">
        <v>1</v>
      </c>
      <c r="E2" t="inlineStr"/>
      <c r="F2" t="inlineStr"/>
      <c r="G2" t="n">
        <v>1</v>
      </c>
      <c r="H2" t="inlineStr">
        <is>
          <t>Enter managers (this sheet).</t>
        </is>
      </c>
    </row>
    <row r="3">
      <c r="A3" t="inlineStr">
        <is>
          <t>M002</t>
        </is>
      </c>
      <c r="B3" t="inlineStr">
        <is>
          <t>Manager 2</t>
        </is>
      </c>
      <c r="C3" t="inlineStr">
        <is>
          <t>Manager 2</t>
        </is>
      </c>
      <c r="D3" t="b">
        <v>1</v>
      </c>
      <c r="E3" t="inlineStr"/>
      <c r="F3" t="inlineStr"/>
      <c r="G3" t="n">
        <v>2</v>
      </c>
      <c r="H3" t="inlineStr">
        <is>
          <t>Enter group-stage fixtures in Matches_1 and record results.</t>
        </is>
      </c>
    </row>
    <row r="4">
      <c r="A4" t="inlineStr">
        <is>
          <t>M003</t>
        </is>
      </c>
      <c r="B4" t="inlineStr">
        <is>
          <t>Manager 3</t>
        </is>
      </c>
      <c r="C4" t="inlineStr">
        <is>
          <t>Manager 3</t>
        </is>
      </c>
      <c r="D4" t="b">
        <v>1</v>
      </c>
      <c r="E4" t="inlineStr"/>
      <c r="F4" t="inlineStr"/>
      <c r="G4" t="n">
        <v>3</v>
      </c>
      <c r="H4" t="inlineStr">
        <is>
          <t>Enter each manager's group-stage picks in Predictions_1.</t>
        </is>
      </c>
    </row>
    <row r="5">
      <c r="A5" t="inlineStr">
        <is>
          <t>M004</t>
        </is>
      </c>
      <c r="B5" t="inlineStr">
        <is>
          <t>Manager 4</t>
        </is>
      </c>
      <c r="C5" t="inlineStr">
        <is>
          <t>Manager 4</t>
        </is>
      </c>
      <c r="D5" t="b">
        <v>1</v>
      </c>
      <c r="E5" t="inlineStr"/>
      <c r="F5" t="inlineStr"/>
      <c r="G5" t="n">
        <v>4</v>
      </c>
      <c r="H5" t="inlineStr">
        <is>
          <t>After group stage, enter knockout fixtures and managers' picks in Matches_2 / Predictions_2.</t>
        </is>
      </c>
    </row>
    <row r="6">
      <c r="A6" t="inlineStr">
        <is>
          <t>M005</t>
        </is>
      </c>
      <c r="B6" t="inlineStr">
        <is>
          <t>Manager 5</t>
        </is>
      </c>
      <c r="C6" t="inlineStr">
        <is>
          <t>Manager 5</t>
        </is>
      </c>
      <c r="D6" t="b">
        <v>1</v>
      </c>
      <c r="E6" t="inlineStr"/>
      <c r="F6" t="inlineStr"/>
      <c r="G6" t="n">
        <v>5</v>
      </c>
      <c r="H6" t="inlineStr">
        <is>
          <t>Enter drafted teams/players in Draft_Board; enter futures picks in Futures.</t>
        </is>
      </c>
    </row>
    <row r="7">
      <c r="A7" t="inlineStr">
        <is>
          <t>M006</t>
        </is>
      </c>
      <c r="B7" t="inlineStr">
        <is>
          <t>Manager 6</t>
        </is>
      </c>
      <c r="C7" t="inlineStr">
        <is>
          <t>Manager 6</t>
        </is>
      </c>
      <c r="D7" t="b">
        <v>1</v>
      </c>
      <c r="E7" t="inlineStr"/>
      <c r="F7" t="inlineStr"/>
      <c r="G7" t="n">
        <v>6</v>
      </c>
      <c r="H7" t="inlineStr">
        <is>
          <t>Update Scoring_Constants!B&lt;Last_Updated_row&gt;, then export Landing_CSV for the website.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7" customWidth="1" min="3" max="3"/>
    <col width="9" customWidth="1" min="4" max="4"/>
    <col width="9" customWidth="1" min="5" max="5"/>
    <col width="8" customWidth="1" min="6" max="6"/>
    <col width="12" customWidth="1" min="7" max="7"/>
    <col width="50" customWidth="1" min="8" max="8"/>
  </cols>
  <sheetData>
    <row r="1">
      <c r="A1" s="1" t="inlineStr">
        <is>
          <t>Match_ID</t>
        </is>
      </c>
      <c r="B1" s="1" t="inlineStr">
        <is>
          <t>Date</t>
        </is>
      </c>
      <c r="C1" s="1" t="inlineStr">
        <is>
          <t>Group</t>
        </is>
      </c>
      <c r="D1" s="1" t="inlineStr">
        <is>
          <t>Team_A</t>
        </is>
      </c>
      <c r="E1" s="1" t="inlineStr">
        <is>
          <t>Team_B</t>
        </is>
      </c>
      <c r="F1" s="1" t="inlineStr">
        <is>
          <t>Result</t>
        </is>
      </c>
      <c r="H1" s="3" t="inlineStr">
        <is>
          <t>Result must equal Team_A name, Team_B name, or the literal text 'Draw'.</t>
        </is>
      </c>
    </row>
    <row r="2">
      <c r="A2" t="inlineStr">
        <is>
          <t>G001</t>
        </is>
      </c>
      <c r="B2" t="inlineStr"/>
      <c r="C2" t="inlineStr">
        <is>
          <t>A</t>
        </is>
      </c>
      <c r="D2" t="inlineStr">
        <is>
          <t>Team A1</t>
        </is>
      </c>
      <c r="E2" t="inlineStr">
        <is>
          <t>Team A2</t>
        </is>
      </c>
      <c r="F2" t="inlineStr"/>
    </row>
    <row r="3">
      <c r="A3" t="inlineStr">
        <is>
          <t>G002</t>
        </is>
      </c>
      <c r="B3" t="inlineStr"/>
      <c r="C3" t="inlineStr">
        <is>
          <t>A</t>
        </is>
      </c>
      <c r="D3" t="inlineStr">
        <is>
          <t>Team A3</t>
        </is>
      </c>
      <c r="E3" t="inlineStr">
        <is>
          <t>Team A4</t>
        </is>
      </c>
      <c r="F3" t="inlineStr"/>
    </row>
    <row r="4">
      <c r="A4" t="inlineStr">
        <is>
          <t>G003</t>
        </is>
      </c>
      <c r="B4" t="inlineStr"/>
      <c r="C4" t="inlineStr">
        <is>
          <t>B</t>
        </is>
      </c>
      <c r="D4" t="inlineStr">
        <is>
          <t>Team B1</t>
        </is>
      </c>
      <c r="E4" t="inlineStr">
        <is>
          <t>Team B2</t>
        </is>
      </c>
      <c r="F4" t="inlineStr"/>
    </row>
    <row r="5">
      <c r="A5" t="inlineStr">
        <is>
          <t>G004</t>
        </is>
      </c>
      <c r="B5" t="inlineStr"/>
      <c r="C5" t="inlineStr">
        <is>
          <t>B</t>
        </is>
      </c>
      <c r="D5" t="inlineStr">
        <is>
          <t>Team B3</t>
        </is>
      </c>
      <c r="E5" t="inlineStr">
        <is>
          <t>Team B4</t>
        </is>
      </c>
      <c r="F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0" customWidth="1" min="3" max="3"/>
    <col width="12" customWidth="1" min="4" max="4"/>
    <col width="50" customWidth="1" min="5" max="5"/>
    <col width="50" customWidth="1" min="6" max="6"/>
  </cols>
  <sheetData>
    <row r="1">
      <c r="A1" s="1" t="inlineStr">
        <is>
          <t>Manager_ID</t>
        </is>
      </c>
      <c r="B1" s="1" t="inlineStr">
        <is>
          <t>Manager_Name</t>
        </is>
      </c>
      <c r="C1" s="1" t="inlineStr">
        <is>
          <t>Match_ID</t>
        </is>
      </c>
      <c r="D1" s="1" t="inlineStr">
        <is>
          <t>Prediction</t>
        </is>
      </c>
      <c r="E1" s="1" t="inlineStr">
        <is>
          <t>Correct</t>
        </is>
      </c>
      <c r="F1" s="1" t="inlineStr">
        <is>
          <t>Points</t>
        </is>
      </c>
    </row>
    <row r="2">
      <c r="A2" t="inlineStr">
        <is>
          <t>M001</t>
        </is>
      </c>
      <c r="B2">
        <f>IFERROR(INDEX(Managers!$B:$B,MATCH(A2,Managers!$A:$A,0)),"")</f>
        <v/>
      </c>
      <c r="C2" t="inlineStr">
        <is>
          <t>G001</t>
        </is>
      </c>
      <c r="E2">
        <f>IF(D2="","",IF(IFERROR(INDEX(Matches_1!$F:$F,MATCH(C2,Matches_1!$A:$A,0)),"")="","",D2=IFERROR(INDEX(Matches_1!$F:$F,MATCH(C2,Matches_1!$A:$A,0)),"")))</f>
        <v/>
      </c>
      <c r="F2">
        <f>IF(E2=TRUE,IF(D2="Draw",Scoring_Constants!$B$4,Scoring_Constants!$B$3),0)</f>
        <v/>
      </c>
    </row>
    <row r="3">
      <c r="A3" t="inlineStr">
        <is>
          <t>M001</t>
        </is>
      </c>
      <c r="B3">
        <f>IFERROR(INDEX(Managers!$B:$B,MATCH(A3,Managers!$A:$A,0)),"")</f>
        <v/>
      </c>
      <c r="C3" t="inlineStr">
        <is>
          <t>G002</t>
        </is>
      </c>
      <c r="E3">
        <f>IF(D3="","",IF(IFERROR(INDEX(Matches_1!$F:$F,MATCH(C3,Matches_1!$A:$A,0)),"")="","",D3=IFERROR(INDEX(Matches_1!$F:$F,MATCH(C3,Matches_1!$A:$A,0)),"")))</f>
        <v/>
      </c>
      <c r="F3">
        <f>IF(E3=TRUE,IF(D3="Draw",Scoring_Constants!$B$4,Scoring_Constants!$B$3),0)</f>
        <v/>
      </c>
    </row>
    <row r="4">
      <c r="A4" t="inlineStr">
        <is>
          <t>M001</t>
        </is>
      </c>
      <c r="B4">
        <f>IFERROR(INDEX(Managers!$B:$B,MATCH(A4,Managers!$A:$A,0)),"")</f>
        <v/>
      </c>
      <c r="C4" t="inlineStr">
        <is>
          <t>G003</t>
        </is>
      </c>
      <c r="E4">
        <f>IF(D4="","",IF(IFERROR(INDEX(Matches_1!$F:$F,MATCH(C4,Matches_1!$A:$A,0)),"")="","",D4=IFERROR(INDEX(Matches_1!$F:$F,MATCH(C4,Matches_1!$A:$A,0)),"")))</f>
        <v/>
      </c>
      <c r="F4">
        <f>IF(E4=TRUE,IF(D4="Draw",Scoring_Constants!$B$4,Scoring_Constants!$B$3),0)</f>
        <v/>
      </c>
    </row>
    <row r="5">
      <c r="A5" t="inlineStr">
        <is>
          <t>M001</t>
        </is>
      </c>
      <c r="B5">
        <f>IFERROR(INDEX(Managers!$B:$B,MATCH(A5,Managers!$A:$A,0)),"")</f>
        <v/>
      </c>
      <c r="C5" t="inlineStr">
        <is>
          <t>G004</t>
        </is>
      </c>
      <c r="E5">
        <f>IF(D5="","",IF(IFERROR(INDEX(Matches_1!$F:$F,MATCH(C5,Matches_1!$A:$A,0)),"")="","",D5=IFERROR(INDEX(Matches_1!$F:$F,MATCH(C5,Matches_1!$A:$A,0)),"")))</f>
        <v/>
      </c>
      <c r="F5">
        <f>IF(E5=TRUE,IF(D5="Draw",Scoring_Constants!$B$4,Scoring_Constants!$B$3),0)</f>
        <v/>
      </c>
    </row>
    <row r="6">
      <c r="A6" t="inlineStr">
        <is>
          <t>M002</t>
        </is>
      </c>
      <c r="B6">
        <f>IFERROR(INDEX(Managers!$B:$B,MATCH(A6,Managers!$A:$A,0)),"")</f>
        <v/>
      </c>
      <c r="C6" t="inlineStr">
        <is>
          <t>G001</t>
        </is>
      </c>
      <c r="E6">
        <f>IF(D6="","",IF(IFERROR(INDEX(Matches_1!$F:$F,MATCH(C6,Matches_1!$A:$A,0)),"")="","",D6=IFERROR(INDEX(Matches_1!$F:$F,MATCH(C6,Matches_1!$A:$A,0)),"")))</f>
        <v/>
      </c>
      <c r="F6">
        <f>IF(E6=TRUE,IF(D6="Draw",Scoring_Constants!$B$4,Scoring_Constants!$B$3),0)</f>
        <v/>
      </c>
    </row>
    <row r="7">
      <c r="A7" t="inlineStr">
        <is>
          <t>M002</t>
        </is>
      </c>
      <c r="B7">
        <f>IFERROR(INDEX(Managers!$B:$B,MATCH(A7,Managers!$A:$A,0)),"")</f>
        <v/>
      </c>
      <c r="C7" t="inlineStr">
        <is>
          <t>G002</t>
        </is>
      </c>
      <c r="E7">
        <f>IF(D7="","",IF(IFERROR(INDEX(Matches_1!$F:$F,MATCH(C7,Matches_1!$A:$A,0)),"")="","",D7=IFERROR(INDEX(Matches_1!$F:$F,MATCH(C7,Matches_1!$A:$A,0)),"")))</f>
        <v/>
      </c>
      <c r="F7">
        <f>IF(E7=TRUE,IF(D7="Draw",Scoring_Constants!$B$4,Scoring_Constants!$B$3),0)</f>
        <v/>
      </c>
    </row>
    <row r="8">
      <c r="A8" t="inlineStr">
        <is>
          <t>M002</t>
        </is>
      </c>
      <c r="B8">
        <f>IFERROR(INDEX(Managers!$B:$B,MATCH(A8,Managers!$A:$A,0)),"")</f>
        <v/>
      </c>
      <c r="C8" t="inlineStr">
        <is>
          <t>G003</t>
        </is>
      </c>
      <c r="E8">
        <f>IF(D8="","",IF(IFERROR(INDEX(Matches_1!$F:$F,MATCH(C8,Matches_1!$A:$A,0)),"")="","",D8=IFERROR(INDEX(Matches_1!$F:$F,MATCH(C8,Matches_1!$A:$A,0)),"")))</f>
        <v/>
      </c>
      <c r="F8">
        <f>IF(E8=TRUE,IF(D8="Draw",Scoring_Constants!$B$4,Scoring_Constants!$B$3),0)</f>
        <v/>
      </c>
    </row>
    <row r="9">
      <c r="A9" t="inlineStr">
        <is>
          <t>M002</t>
        </is>
      </c>
      <c r="B9">
        <f>IFERROR(INDEX(Managers!$B:$B,MATCH(A9,Managers!$A:$A,0)),"")</f>
        <v/>
      </c>
      <c r="C9" t="inlineStr">
        <is>
          <t>G004</t>
        </is>
      </c>
      <c r="E9">
        <f>IF(D9="","",IF(IFERROR(INDEX(Matches_1!$F:$F,MATCH(C9,Matches_1!$A:$A,0)),"")="","",D9=IFERROR(INDEX(Matches_1!$F:$F,MATCH(C9,Matches_1!$A:$A,0)),"")))</f>
        <v/>
      </c>
      <c r="F9">
        <f>IF(E9=TRUE,IF(D9="Draw",Scoring_Constants!$B$4,Scoring_Constants!$B$3),0)</f>
        <v/>
      </c>
    </row>
    <row r="10">
      <c r="A10" t="inlineStr">
        <is>
          <t>M003</t>
        </is>
      </c>
      <c r="B10">
        <f>IFERROR(INDEX(Managers!$B:$B,MATCH(A10,Managers!$A:$A,0)),"")</f>
        <v/>
      </c>
      <c r="C10" t="inlineStr">
        <is>
          <t>G001</t>
        </is>
      </c>
      <c r="E10">
        <f>IF(D10="","",IF(IFERROR(INDEX(Matches_1!$F:$F,MATCH(C10,Matches_1!$A:$A,0)),"")="","",D10=IFERROR(INDEX(Matches_1!$F:$F,MATCH(C10,Matches_1!$A:$A,0)),"")))</f>
        <v/>
      </c>
      <c r="F10">
        <f>IF(E10=TRUE,IF(D10="Draw",Scoring_Constants!$B$4,Scoring_Constants!$B$3),0)</f>
        <v/>
      </c>
    </row>
    <row r="11">
      <c r="A11" t="inlineStr">
        <is>
          <t>M003</t>
        </is>
      </c>
      <c r="B11">
        <f>IFERROR(INDEX(Managers!$B:$B,MATCH(A11,Managers!$A:$A,0)),"")</f>
        <v/>
      </c>
      <c r="C11" t="inlineStr">
        <is>
          <t>G002</t>
        </is>
      </c>
      <c r="E11">
        <f>IF(D11="","",IF(IFERROR(INDEX(Matches_1!$F:$F,MATCH(C11,Matches_1!$A:$A,0)),"")="","",D11=IFERROR(INDEX(Matches_1!$F:$F,MATCH(C11,Matches_1!$A:$A,0)),"")))</f>
        <v/>
      </c>
      <c r="F11">
        <f>IF(E11=TRUE,IF(D11="Draw",Scoring_Constants!$B$4,Scoring_Constants!$B$3),0)</f>
        <v/>
      </c>
    </row>
    <row r="12">
      <c r="A12" t="inlineStr">
        <is>
          <t>M003</t>
        </is>
      </c>
      <c r="B12">
        <f>IFERROR(INDEX(Managers!$B:$B,MATCH(A12,Managers!$A:$A,0)),"")</f>
        <v/>
      </c>
      <c r="C12" t="inlineStr">
        <is>
          <t>G003</t>
        </is>
      </c>
      <c r="E12">
        <f>IF(D12="","",IF(IFERROR(INDEX(Matches_1!$F:$F,MATCH(C12,Matches_1!$A:$A,0)),"")="","",D12=IFERROR(INDEX(Matches_1!$F:$F,MATCH(C12,Matches_1!$A:$A,0)),"")))</f>
        <v/>
      </c>
      <c r="F12">
        <f>IF(E12=TRUE,IF(D12="Draw",Scoring_Constants!$B$4,Scoring_Constants!$B$3),0)</f>
        <v/>
      </c>
    </row>
    <row r="13">
      <c r="A13" t="inlineStr">
        <is>
          <t>M003</t>
        </is>
      </c>
      <c r="B13">
        <f>IFERROR(INDEX(Managers!$B:$B,MATCH(A13,Managers!$A:$A,0)),"")</f>
        <v/>
      </c>
      <c r="C13" t="inlineStr">
        <is>
          <t>G004</t>
        </is>
      </c>
      <c r="E13">
        <f>IF(D13="","",IF(IFERROR(INDEX(Matches_1!$F:$F,MATCH(C13,Matches_1!$A:$A,0)),"")="","",D13=IFERROR(INDEX(Matches_1!$F:$F,MATCH(C13,Matches_1!$A:$A,0)),"")))</f>
        <v/>
      </c>
      <c r="F13">
        <f>IF(E13=TRUE,IF(D13="Draw",Scoring_Constants!$B$4,Scoring_Constants!$B$3),0)</f>
        <v/>
      </c>
    </row>
    <row r="14">
      <c r="A14" t="inlineStr">
        <is>
          <t>M004</t>
        </is>
      </c>
      <c r="B14">
        <f>IFERROR(INDEX(Managers!$B:$B,MATCH(A14,Managers!$A:$A,0)),"")</f>
        <v/>
      </c>
      <c r="C14" t="inlineStr">
        <is>
          <t>G001</t>
        </is>
      </c>
      <c r="E14">
        <f>IF(D14="","",IF(IFERROR(INDEX(Matches_1!$F:$F,MATCH(C14,Matches_1!$A:$A,0)),"")="","",D14=IFERROR(INDEX(Matches_1!$F:$F,MATCH(C14,Matches_1!$A:$A,0)),"")))</f>
        <v/>
      </c>
      <c r="F14">
        <f>IF(E14=TRUE,IF(D14="Draw",Scoring_Constants!$B$4,Scoring_Constants!$B$3),0)</f>
        <v/>
      </c>
    </row>
    <row r="15">
      <c r="A15" t="inlineStr">
        <is>
          <t>M004</t>
        </is>
      </c>
      <c r="B15">
        <f>IFERROR(INDEX(Managers!$B:$B,MATCH(A15,Managers!$A:$A,0)),"")</f>
        <v/>
      </c>
      <c r="C15" t="inlineStr">
        <is>
          <t>G002</t>
        </is>
      </c>
      <c r="E15">
        <f>IF(D15="","",IF(IFERROR(INDEX(Matches_1!$F:$F,MATCH(C15,Matches_1!$A:$A,0)),"")="","",D15=IFERROR(INDEX(Matches_1!$F:$F,MATCH(C15,Matches_1!$A:$A,0)),"")))</f>
        <v/>
      </c>
      <c r="F15">
        <f>IF(E15=TRUE,IF(D15="Draw",Scoring_Constants!$B$4,Scoring_Constants!$B$3),0)</f>
        <v/>
      </c>
    </row>
    <row r="16">
      <c r="A16" t="inlineStr">
        <is>
          <t>M004</t>
        </is>
      </c>
      <c r="B16">
        <f>IFERROR(INDEX(Managers!$B:$B,MATCH(A16,Managers!$A:$A,0)),"")</f>
        <v/>
      </c>
      <c r="C16" t="inlineStr">
        <is>
          <t>G003</t>
        </is>
      </c>
      <c r="E16">
        <f>IF(D16="","",IF(IFERROR(INDEX(Matches_1!$F:$F,MATCH(C16,Matches_1!$A:$A,0)),"")="","",D16=IFERROR(INDEX(Matches_1!$F:$F,MATCH(C16,Matches_1!$A:$A,0)),"")))</f>
        <v/>
      </c>
      <c r="F16">
        <f>IF(E16=TRUE,IF(D16="Draw",Scoring_Constants!$B$4,Scoring_Constants!$B$3),0)</f>
        <v/>
      </c>
    </row>
    <row r="17">
      <c r="A17" t="inlineStr">
        <is>
          <t>M004</t>
        </is>
      </c>
      <c r="B17">
        <f>IFERROR(INDEX(Managers!$B:$B,MATCH(A17,Managers!$A:$A,0)),"")</f>
        <v/>
      </c>
      <c r="C17" t="inlineStr">
        <is>
          <t>G004</t>
        </is>
      </c>
      <c r="E17">
        <f>IF(D17="","",IF(IFERROR(INDEX(Matches_1!$F:$F,MATCH(C17,Matches_1!$A:$A,0)),"")="","",D17=IFERROR(INDEX(Matches_1!$F:$F,MATCH(C17,Matches_1!$A:$A,0)),"")))</f>
        <v/>
      </c>
      <c r="F17">
        <f>IF(E17=TRUE,IF(D17="Draw",Scoring_Constants!$B$4,Scoring_Constants!$B$3),0)</f>
        <v/>
      </c>
    </row>
    <row r="18">
      <c r="A18" t="inlineStr">
        <is>
          <t>M005</t>
        </is>
      </c>
      <c r="B18">
        <f>IFERROR(INDEX(Managers!$B:$B,MATCH(A18,Managers!$A:$A,0)),"")</f>
        <v/>
      </c>
      <c r="C18" t="inlineStr">
        <is>
          <t>G001</t>
        </is>
      </c>
      <c r="E18">
        <f>IF(D18="","",IF(IFERROR(INDEX(Matches_1!$F:$F,MATCH(C18,Matches_1!$A:$A,0)),"")="","",D18=IFERROR(INDEX(Matches_1!$F:$F,MATCH(C18,Matches_1!$A:$A,0)),"")))</f>
        <v/>
      </c>
      <c r="F18">
        <f>IF(E18=TRUE,IF(D18="Draw",Scoring_Constants!$B$4,Scoring_Constants!$B$3),0)</f>
        <v/>
      </c>
    </row>
    <row r="19">
      <c r="A19" t="inlineStr">
        <is>
          <t>M005</t>
        </is>
      </c>
      <c r="B19">
        <f>IFERROR(INDEX(Managers!$B:$B,MATCH(A19,Managers!$A:$A,0)),"")</f>
        <v/>
      </c>
      <c r="C19" t="inlineStr">
        <is>
          <t>G002</t>
        </is>
      </c>
      <c r="E19">
        <f>IF(D19="","",IF(IFERROR(INDEX(Matches_1!$F:$F,MATCH(C19,Matches_1!$A:$A,0)),"")="","",D19=IFERROR(INDEX(Matches_1!$F:$F,MATCH(C19,Matches_1!$A:$A,0)),"")))</f>
        <v/>
      </c>
      <c r="F19">
        <f>IF(E19=TRUE,IF(D19="Draw",Scoring_Constants!$B$4,Scoring_Constants!$B$3),0)</f>
        <v/>
      </c>
    </row>
    <row r="20">
      <c r="A20" t="inlineStr">
        <is>
          <t>M005</t>
        </is>
      </c>
      <c r="B20">
        <f>IFERROR(INDEX(Managers!$B:$B,MATCH(A20,Managers!$A:$A,0)),"")</f>
        <v/>
      </c>
      <c r="C20" t="inlineStr">
        <is>
          <t>G003</t>
        </is>
      </c>
      <c r="E20">
        <f>IF(D20="","",IF(IFERROR(INDEX(Matches_1!$F:$F,MATCH(C20,Matches_1!$A:$A,0)),"")="","",D20=IFERROR(INDEX(Matches_1!$F:$F,MATCH(C20,Matches_1!$A:$A,0)),"")))</f>
        <v/>
      </c>
      <c r="F20">
        <f>IF(E20=TRUE,IF(D20="Draw",Scoring_Constants!$B$4,Scoring_Constants!$B$3),0)</f>
        <v/>
      </c>
    </row>
    <row r="21">
      <c r="A21" t="inlineStr">
        <is>
          <t>M005</t>
        </is>
      </c>
      <c r="B21">
        <f>IFERROR(INDEX(Managers!$B:$B,MATCH(A21,Managers!$A:$A,0)),"")</f>
        <v/>
      </c>
      <c r="C21" t="inlineStr">
        <is>
          <t>G004</t>
        </is>
      </c>
      <c r="E21">
        <f>IF(D21="","",IF(IFERROR(INDEX(Matches_1!$F:$F,MATCH(C21,Matches_1!$A:$A,0)),"")="","",D21=IFERROR(INDEX(Matches_1!$F:$F,MATCH(C21,Matches_1!$A:$A,0)),"")))</f>
        <v/>
      </c>
      <c r="F21">
        <f>IF(E21=TRUE,IF(D21="Draw",Scoring_Constants!$B$4,Scoring_Constants!$B$3),0)</f>
        <v/>
      </c>
    </row>
    <row r="22">
      <c r="A22" t="inlineStr">
        <is>
          <t>M006</t>
        </is>
      </c>
      <c r="B22">
        <f>IFERROR(INDEX(Managers!$B:$B,MATCH(A22,Managers!$A:$A,0)),"")</f>
        <v/>
      </c>
      <c r="C22" t="inlineStr">
        <is>
          <t>G001</t>
        </is>
      </c>
      <c r="E22">
        <f>IF(D22="","",IF(IFERROR(INDEX(Matches_1!$F:$F,MATCH(C22,Matches_1!$A:$A,0)),"")="","",D22=IFERROR(INDEX(Matches_1!$F:$F,MATCH(C22,Matches_1!$A:$A,0)),"")))</f>
        <v/>
      </c>
      <c r="F22">
        <f>IF(E22=TRUE,IF(D22="Draw",Scoring_Constants!$B$4,Scoring_Constants!$B$3),0)</f>
        <v/>
      </c>
    </row>
    <row r="23">
      <c r="A23" t="inlineStr">
        <is>
          <t>M006</t>
        </is>
      </c>
      <c r="B23">
        <f>IFERROR(INDEX(Managers!$B:$B,MATCH(A23,Managers!$A:$A,0)),"")</f>
        <v/>
      </c>
      <c r="C23" t="inlineStr">
        <is>
          <t>G002</t>
        </is>
      </c>
      <c r="E23">
        <f>IF(D23="","",IF(IFERROR(INDEX(Matches_1!$F:$F,MATCH(C23,Matches_1!$A:$A,0)),"")="","",D23=IFERROR(INDEX(Matches_1!$F:$F,MATCH(C23,Matches_1!$A:$A,0)),"")))</f>
        <v/>
      </c>
      <c r="F23">
        <f>IF(E23=TRUE,IF(D23="Draw",Scoring_Constants!$B$4,Scoring_Constants!$B$3),0)</f>
        <v/>
      </c>
    </row>
    <row r="24">
      <c r="A24" t="inlineStr">
        <is>
          <t>M006</t>
        </is>
      </c>
      <c r="B24">
        <f>IFERROR(INDEX(Managers!$B:$B,MATCH(A24,Managers!$A:$A,0)),"")</f>
        <v/>
      </c>
      <c r="C24" t="inlineStr">
        <is>
          <t>G003</t>
        </is>
      </c>
      <c r="E24">
        <f>IF(D24="","",IF(IFERROR(INDEX(Matches_1!$F:$F,MATCH(C24,Matches_1!$A:$A,0)),"")="","",D24=IFERROR(INDEX(Matches_1!$F:$F,MATCH(C24,Matches_1!$A:$A,0)),"")))</f>
        <v/>
      </c>
      <c r="F24">
        <f>IF(E24=TRUE,IF(D24="Draw",Scoring_Constants!$B$4,Scoring_Constants!$B$3),0)</f>
        <v/>
      </c>
    </row>
    <row r="25">
      <c r="A25" t="inlineStr">
        <is>
          <t>M006</t>
        </is>
      </c>
      <c r="B25">
        <f>IFERROR(INDEX(Managers!$B:$B,MATCH(A25,Managers!$A:$A,0)),"")</f>
        <v/>
      </c>
      <c r="C25" t="inlineStr">
        <is>
          <t>G004</t>
        </is>
      </c>
      <c r="E25">
        <f>IF(D25="","",IF(IFERROR(INDEX(Matches_1!$F:$F,MATCH(C25,Matches_1!$A:$A,0)),"")="","",D25=IFERROR(INDEX(Matches_1!$F:$F,MATCH(C25,Matches_1!$A:$A,0)),"")))</f>
        <v/>
      </c>
      <c r="F25">
        <f>IF(E25=TRUE,IF(D25="Draw",Scoring_Constants!$B$4,Scoring_Constants!$B$3),0)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14" customWidth="1" min="3" max="3"/>
    <col width="50" customWidth="1" min="4" max="4"/>
    <col width="50" customWidth="1" min="5" max="5"/>
  </cols>
  <sheetData>
    <row r="1">
      <c r="A1" s="1" t="inlineStr">
        <is>
          <t>Rank</t>
        </is>
      </c>
      <c r="B1" s="1" t="inlineStr">
        <is>
          <t>Manager_ID</t>
        </is>
      </c>
      <c r="C1" s="1" t="inlineStr">
        <is>
          <t>Manager_Name</t>
        </is>
      </c>
      <c r="D1" s="1" t="inlineStr">
        <is>
          <t>Points</t>
        </is>
      </c>
      <c r="E1" s="1" t="inlineStr">
        <is>
          <t>Correct_Picks</t>
        </is>
      </c>
    </row>
    <row r="2">
      <c r="A2">
        <f>IF(D2="","",RANK(D2,$D$2:$D$1000,0))</f>
        <v/>
      </c>
      <c r="B2" t="inlineStr">
        <is>
          <t>M001</t>
        </is>
      </c>
      <c r="C2" t="inlineStr">
        <is>
          <t>Manager 1</t>
        </is>
      </c>
      <c r="D2">
        <f>SUMIFS(Predictions_1!$F:$F,Predictions_1!$A:$A,B2)</f>
        <v/>
      </c>
      <c r="E2">
        <f>COUNTIFS(Predictions_1!$A:$A,B2,Predictions_1!$E:$E,TRUE)</f>
        <v/>
      </c>
    </row>
    <row r="3">
      <c r="A3">
        <f>IF(D3="","",RANK(D3,$D$2:$D$1000,0))</f>
        <v/>
      </c>
      <c r="B3" t="inlineStr">
        <is>
          <t>M002</t>
        </is>
      </c>
      <c r="C3" t="inlineStr">
        <is>
          <t>Manager 2</t>
        </is>
      </c>
      <c r="D3">
        <f>SUMIFS(Predictions_1!$F:$F,Predictions_1!$A:$A,B3)</f>
        <v/>
      </c>
      <c r="E3">
        <f>COUNTIFS(Predictions_1!$A:$A,B3,Predictions_1!$E:$E,TRUE)</f>
        <v/>
      </c>
    </row>
    <row r="4">
      <c r="A4">
        <f>IF(D4="","",RANK(D4,$D$2:$D$1000,0))</f>
        <v/>
      </c>
      <c r="B4" t="inlineStr">
        <is>
          <t>M003</t>
        </is>
      </c>
      <c r="C4" t="inlineStr">
        <is>
          <t>Manager 3</t>
        </is>
      </c>
      <c r="D4">
        <f>SUMIFS(Predictions_1!$F:$F,Predictions_1!$A:$A,B4)</f>
        <v/>
      </c>
      <c r="E4">
        <f>COUNTIFS(Predictions_1!$A:$A,B4,Predictions_1!$E:$E,TRUE)</f>
        <v/>
      </c>
    </row>
    <row r="5">
      <c r="A5">
        <f>IF(D5="","",RANK(D5,$D$2:$D$1000,0))</f>
        <v/>
      </c>
      <c r="B5" t="inlineStr">
        <is>
          <t>M004</t>
        </is>
      </c>
      <c r="C5" t="inlineStr">
        <is>
          <t>Manager 4</t>
        </is>
      </c>
      <c r="D5">
        <f>SUMIFS(Predictions_1!$F:$F,Predictions_1!$A:$A,B5)</f>
        <v/>
      </c>
      <c r="E5">
        <f>COUNTIFS(Predictions_1!$A:$A,B5,Predictions_1!$E:$E,TRUE)</f>
        <v/>
      </c>
    </row>
    <row r="6">
      <c r="A6">
        <f>IF(D6="","",RANK(D6,$D$2:$D$1000,0))</f>
        <v/>
      </c>
      <c r="B6" t="inlineStr">
        <is>
          <t>M005</t>
        </is>
      </c>
      <c r="C6" t="inlineStr">
        <is>
          <t>Manager 5</t>
        </is>
      </c>
      <c r="D6">
        <f>SUMIFS(Predictions_1!$F:$F,Predictions_1!$A:$A,B6)</f>
        <v/>
      </c>
      <c r="E6">
        <f>COUNTIFS(Predictions_1!$A:$A,B6,Predictions_1!$E:$E,TRUE)</f>
        <v/>
      </c>
    </row>
    <row r="7">
      <c r="A7">
        <f>IF(D7="","",RANK(D7,$D$2:$D$1000,0))</f>
        <v/>
      </c>
      <c r="B7" t="inlineStr">
        <is>
          <t>M006</t>
        </is>
      </c>
      <c r="C7" t="inlineStr">
        <is>
          <t>Manager 6</t>
        </is>
      </c>
      <c r="D7">
        <f>SUMIFS(Predictions_1!$F:$F,Predictions_1!$A:$A,B7)</f>
        <v/>
      </c>
      <c r="E7">
        <f>COUNTIFS(Predictions_1!$A:$A,B7,Predictions_1!$E:$E,TRUE)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3" customWidth="1" min="3" max="3"/>
    <col width="12" customWidth="1" min="4" max="4"/>
    <col width="12" customWidth="1" min="5" max="5"/>
    <col width="15" customWidth="1" min="6" max="6"/>
    <col width="10" customWidth="1" min="7" max="7"/>
    <col width="50" customWidth="1" min="8" max="8"/>
    <col width="7" customWidth="1" min="9" max="9"/>
    <col width="12" customWidth="1" min="10" max="10"/>
    <col width="50" customWidth="1" min="11" max="11"/>
  </cols>
  <sheetData>
    <row r="1">
      <c r="A1" s="1" t="inlineStr">
        <is>
          <t>Team_ID</t>
        </is>
      </c>
      <c r="B1" s="1" t="inlineStr">
        <is>
          <t>Team_Name</t>
        </is>
      </c>
      <c r="C1" s="1" t="inlineStr">
        <is>
          <t>Reached_R16</t>
        </is>
      </c>
      <c r="D1" s="1" t="inlineStr">
        <is>
          <t>Reached_QF</t>
        </is>
      </c>
      <c r="E1" s="1" t="inlineStr">
        <is>
          <t>Reached_SF</t>
        </is>
      </c>
      <c r="F1" s="1" t="inlineStr">
        <is>
          <t>Reached_Final</t>
        </is>
      </c>
      <c r="G1" s="1" t="inlineStr">
        <is>
          <t>Champion</t>
        </is>
      </c>
      <c r="H1" s="1" t="inlineStr">
        <is>
          <t>Total_Team_Points</t>
        </is>
      </c>
      <c r="I1" s="1" t="inlineStr">
        <is>
          <t>Notes</t>
        </is>
      </c>
      <c r="K1" s="3" t="inlineStr">
        <is>
          <t>Flags are cumulative: a champion has all five flags TRUE.</t>
        </is>
      </c>
    </row>
    <row r="2">
      <c r="A2" t="inlineStr">
        <is>
          <t>T001</t>
        </is>
      </c>
      <c r="B2" t="inlineStr">
        <is>
          <t>Team 1</t>
        </is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>
        <f>IF(A2="","",N(C2)*Scoring_Constants!$B$10+N(D2)*Scoring_Constants!$B$11+N(E2)*Scoring_Constants!$B$12+N(F2)*Scoring_Constants!$B$13+N(G2)*Scoring_Constants!$B$14)</f>
        <v/>
      </c>
      <c r="I2" t="inlineStr"/>
    </row>
    <row r="3">
      <c r="A3" t="inlineStr">
        <is>
          <t>T002</t>
        </is>
      </c>
      <c r="B3" t="inlineStr">
        <is>
          <t>Team 2</t>
        </is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>
        <f>IF(A3="","",N(C3)*Scoring_Constants!$B$10+N(D3)*Scoring_Constants!$B$11+N(E3)*Scoring_Constants!$B$12+N(F3)*Scoring_Constants!$B$13+N(G3)*Scoring_Constants!$B$14)</f>
        <v/>
      </c>
      <c r="I3" t="inlineStr"/>
    </row>
    <row r="4">
      <c r="A4" t="inlineStr">
        <is>
          <t>T003</t>
        </is>
      </c>
      <c r="B4" t="inlineStr">
        <is>
          <t>Team 3</t>
        </is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>
        <f>IF(A4="","",N(C4)*Scoring_Constants!$B$10+N(D4)*Scoring_Constants!$B$11+N(E4)*Scoring_Constants!$B$12+N(F4)*Scoring_Constants!$B$13+N(G4)*Scoring_Constants!$B$14)</f>
        <v/>
      </c>
      <c r="I4" t="inlineStr"/>
    </row>
    <row r="5">
      <c r="A5" t="inlineStr">
        <is>
          <t>T004</t>
        </is>
      </c>
      <c r="B5" t="inlineStr">
        <is>
          <t>Team 4</t>
        </is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>
        <f>IF(A5="","",N(C5)*Scoring_Constants!$B$10+N(D5)*Scoring_Constants!$B$11+N(E5)*Scoring_Constants!$B$12+N(F5)*Scoring_Constants!$B$13+N(G5)*Scoring_Constants!$B$14)</f>
        <v/>
      </c>
      <c r="I5" t="inlineStr"/>
    </row>
    <row r="6">
      <c r="H6">
        <f>IF(A6="","",N(C6)*Scoring_Constants!$B$10+N(D6)*Scoring_Constants!$B$11+N(E6)*Scoring_Constants!$B$12+N(F6)*Scoring_Constants!$B$13+N(G6)*Scoring_Constants!$B$14)</f>
        <v/>
      </c>
    </row>
    <row r="7">
      <c r="H7">
        <f>IF(A7="","",N(C7)*Scoring_Constants!$B$10+N(D7)*Scoring_Constants!$B$11+N(E7)*Scoring_Constants!$B$12+N(F7)*Scoring_Constants!$B$13+N(G7)*Scoring_Constants!$B$14)</f>
        <v/>
      </c>
    </row>
    <row r="8">
      <c r="H8">
        <f>IF(A8="","",N(C8)*Scoring_Constants!$B$10+N(D8)*Scoring_Constants!$B$11+N(E8)*Scoring_Constants!$B$12+N(F8)*Scoring_Constants!$B$13+N(G8)*Scoring_Constants!$B$14)</f>
        <v/>
      </c>
    </row>
    <row r="9">
      <c r="H9">
        <f>IF(A9="","",N(C9)*Scoring_Constants!$B$10+N(D9)*Scoring_Constants!$B$11+N(E9)*Scoring_Constants!$B$12+N(F9)*Scoring_Constants!$B$13+N(G9)*Scoring_Constants!$B$14)</f>
        <v/>
      </c>
    </row>
    <row r="10">
      <c r="H10">
        <f>IF(A10="","",N(C10)*Scoring_Constants!$B$10+N(D10)*Scoring_Constants!$B$11+N(E10)*Scoring_Constants!$B$12+N(F10)*Scoring_Constants!$B$13+N(G10)*Scoring_Constants!$B$14)</f>
        <v/>
      </c>
    </row>
    <row r="11">
      <c r="H11">
        <f>IF(A11="","",N(C11)*Scoring_Constants!$B$10+N(D11)*Scoring_Constants!$B$11+N(E11)*Scoring_Constants!$B$12+N(F11)*Scoring_Constants!$B$13+N(G11)*Scoring_Constants!$B$14)</f>
        <v/>
      </c>
    </row>
    <row r="12">
      <c r="H12">
        <f>IF(A12="","",N(C12)*Scoring_Constants!$B$10+N(D12)*Scoring_Constants!$B$11+N(E12)*Scoring_Constants!$B$12+N(F12)*Scoring_Constants!$B$13+N(G12)*Scoring_Constants!$B$14)</f>
        <v/>
      </c>
    </row>
    <row r="13">
      <c r="H13">
        <f>IF(A13="","",N(C13)*Scoring_Constants!$B$10+N(D13)*Scoring_Constants!$B$11+N(E13)*Scoring_Constants!$B$12+N(F13)*Scoring_Constants!$B$13+N(G13)*Scoring_Constants!$B$14)</f>
        <v/>
      </c>
    </row>
    <row r="14">
      <c r="H14">
        <f>IF(A14="","",N(C14)*Scoring_Constants!$B$10+N(D14)*Scoring_Constants!$B$11+N(E14)*Scoring_Constants!$B$12+N(F14)*Scoring_Constants!$B$13+N(G14)*Scoring_Constants!$B$14)</f>
        <v/>
      </c>
    </row>
    <row r="15">
      <c r="H15">
        <f>IF(A15="","",N(C15)*Scoring_Constants!$B$10+N(D15)*Scoring_Constants!$B$11+N(E15)*Scoring_Constants!$B$12+N(F15)*Scoring_Constants!$B$13+N(G15)*Scoring_Constants!$B$14)</f>
        <v/>
      </c>
    </row>
    <row r="16">
      <c r="H16">
        <f>IF(A16="","",N(C16)*Scoring_Constants!$B$10+N(D16)*Scoring_Constants!$B$11+N(E16)*Scoring_Constants!$B$12+N(F16)*Scoring_Constants!$B$13+N(G16)*Scoring_Constants!$B$14)</f>
        <v/>
      </c>
    </row>
    <row r="17">
      <c r="H17">
        <f>IF(A17="","",N(C17)*Scoring_Constants!$B$10+N(D17)*Scoring_Constants!$B$11+N(E17)*Scoring_Constants!$B$12+N(F17)*Scoring_Constants!$B$13+N(G17)*Scoring_Constants!$B$14)</f>
        <v/>
      </c>
    </row>
    <row r="18">
      <c r="H18">
        <f>IF(A18="","",N(C18)*Scoring_Constants!$B$10+N(D18)*Scoring_Constants!$B$11+N(E18)*Scoring_Constants!$B$12+N(F18)*Scoring_Constants!$B$13+N(G18)*Scoring_Constants!$B$14)</f>
        <v/>
      </c>
    </row>
    <row r="19">
      <c r="H19">
        <f>IF(A19="","",N(C19)*Scoring_Constants!$B$10+N(D19)*Scoring_Constants!$B$11+N(E19)*Scoring_Constants!$B$12+N(F19)*Scoring_Constants!$B$13+N(G19)*Scoring_Constants!$B$14)</f>
        <v/>
      </c>
    </row>
    <row r="20">
      <c r="H20">
        <f>IF(A20="","",N(C20)*Scoring_Constants!$B$10+N(D20)*Scoring_Constants!$B$11+N(E20)*Scoring_Constants!$B$12+N(F20)*Scoring_Constants!$B$13+N(G20)*Scoring_Constants!$B$14)</f>
        <v/>
      </c>
    </row>
    <row r="21">
      <c r="H21">
        <f>IF(A21="","",N(C21)*Scoring_Constants!$B$10+N(D21)*Scoring_Constants!$B$11+N(E21)*Scoring_Constants!$B$12+N(F21)*Scoring_Constants!$B$13+N(G21)*Scoring_Constants!$B$14)</f>
        <v/>
      </c>
    </row>
    <row r="22">
      <c r="H22">
        <f>IF(A22="","",N(C22)*Scoring_Constants!$B$10+N(D22)*Scoring_Constants!$B$11+N(E22)*Scoring_Constants!$B$12+N(F22)*Scoring_Constants!$B$13+N(G22)*Scoring_Constants!$B$14)</f>
        <v/>
      </c>
    </row>
    <row r="23">
      <c r="H23">
        <f>IF(A23="","",N(C23)*Scoring_Constants!$B$10+N(D23)*Scoring_Constants!$B$11+N(E23)*Scoring_Constants!$B$12+N(F23)*Scoring_Constants!$B$13+N(G23)*Scoring_Constants!$B$14)</f>
        <v/>
      </c>
    </row>
    <row r="24">
      <c r="H24">
        <f>IF(A24="","",N(C24)*Scoring_Constants!$B$10+N(D24)*Scoring_Constants!$B$11+N(E24)*Scoring_Constants!$B$12+N(F24)*Scoring_Constants!$B$13+N(G24)*Scoring_Constants!$B$14)</f>
        <v/>
      </c>
    </row>
    <row r="25">
      <c r="H25">
        <f>IF(A25="","",N(C25)*Scoring_Constants!$B$10+N(D25)*Scoring_Constants!$B$11+N(E25)*Scoring_Constants!$B$12+N(F25)*Scoring_Constants!$B$13+N(G25)*Scoring_Constants!$B$14)</f>
        <v/>
      </c>
    </row>
    <row r="26">
      <c r="H26">
        <f>IF(A26="","",N(C26)*Scoring_Constants!$B$10+N(D26)*Scoring_Constants!$B$11+N(E26)*Scoring_Constants!$B$12+N(F26)*Scoring_Constants!$B$13+N(G26)*Scoring_Constants!$B$14)</f>
        <v/>
      </c>
    </row>
    <row r="27">
      <c r="H27">
        <f>IF(A27="","",N(C27)*Scoring_Constants!$B$10+N(D27)*Scoring_Constants!$B$11+N(E27)*Scoring_Constants!$B$12+N(F27)*Scoring_Constants!$B$13+N(G27)*Scoring_Constants!$B$14)</f>
        <v/>
      </c>
    </row>
    <row r="28">
      <c r="H28">
        <f>IF(A28="","",N(C28)*Scoring_Constants!$B$10+N(D28)*Scoring_Constants!$B$11+N(E28)*Scoring_Constants!$B$12+N(F28)*Scoring_Constants!$B$13+N(G28)*Scoring_Constants!$B$14)</f>
        <v/>
      </c>
    </row>
    <row r="29">
      <c r="H29">
        <f>IF(A29="","",N(C29)*Scoring_Constants!$B$10+N(D29)*Scoring_Constants!$B$11+N(E29)*Scoring_Constants!$B$12+N(F29)*Scoring_Constants!$B$13+N(G29)*Scoring_Constants!$B$14)</f>
        <v/>
      </c>
    </row>
    <row r="30">
      <c r="H30">
        <f>IF(A30="","",N(C30)*Scoring_Constants!$B$10+N(D30)*Scoring_Constants!$B$11+N(E30)*Scoring_Constants!$B$12+N(F30)*Scoring_Constants!$B$13+N(G30)*Scoring_Constants!$B$14)</f>
        <v/>
      </c>
    </row>
    <row r="31">
      <c r="H31">
        <f>IF(A31="","",N(C31)*Scoring_Constants!$B$10+N(D31)*Scoring_Constants!$B$11+N(E31)*Scoring_Constants!$B$12+N(F31)*Scoring_Constants!$B$13+N(G31)*Scoring_Constants!$B$14)</f>
        <v/>
      </c>
    </row>
    <row r="32">
      <c r="H32">
        <f>IF(A32="","",N(C32)*Scoring_Constants!$B$10+N(D32)*Scoring_Constants!$B$11+N(E32)*Scoring_Constants!$B$12+N(F32)*Scoring_Constants!$B$13+N(G32)*Scoring_Constants!$B$14)</f>
        <v/>
      </c>
    </row>
    <row r="33">
      <c r="H33">
        <f>IF(A33="","",N(C33)*Scoring_Constants!$B$10+N(D33)*Scoring_Constants!$B$11+N(E33)*Scoring_Constants!$B$12+N(F33)*Scoring_Constants!$B$13+N(G33)*Scoring_Constants!$B$14)</f>
        <v/>
      </c>
    </row>
    <row r="34">
      <c r="H34">
        <f>IF(A34="","",N(C34)*Scoring_Constants!$B$10+N(D34)*Scoring_Constants!$B$11+N(E34)*Scoring_Constants!$B$12+N(F34)*Scoring_Constants!$B$13+N(G34)*Scoring_Constants!$B$14)</f>
        <v/>
      </c>
    </row>
    <row r="35">
      <c r="H35">
        <f>IF(A35="","",N(C35)*Scoring_Constants!$B$10+N(D35)*Scoring_Constants!$B$11+N(E35)*Scoring_Constants!$B$12+N(F35)*Scoring_Constants!$B$13+N(G35)*Scoring_Constants!$B$14)</f>
        <v/>
      </c>
    </row>
    <row r="36">
      <c r="H36">
        <f>IF(A36="","",N(C36)*Scoring_Constants!$B$10+N(D36)*Scoring_Constants!$B$11+N(E36)*Scoring_Constants!$B$12+N(F36)*Scoring_Constants!$B$13+N(G36)*Scoring_Constants!$B$14)</f>
        <v/>
      </c>
    </row>
    <row r="37">
      <c r="H37">
        <f>IF(A37="","",N(C37)*Scoring_Constants!$B$10+N(D37)*Scoring_Constants!$B$11+N(E37)*Scoring_Constants!$B$12+N(F37)*Scoring_Constants!$B$13+N(G37)*Scoring_Constants!$B$14)</f>
        <v/>
      </c>
    </row>
    <row r="38">
      <c r="H38">
        <f>IF(A38="","",N(C38)*Scoring_Constants!$B$10+N(D38)*Scoring_Constants!$B$11+N(E38)*Scoring_Constants!$B$12+N(F38)*Scoring_Constants!$B$13+N(G38)*Scoring_Constants!$B$14)</f>
        <v/>
      </c>
    </row>
    <row r="39">
      <c r="H39">
        <f>IF(A39="","",N(C39)*Scoring_Constants!$B$10+N(D39)*Scoring_Constants!$B$11+N(E39)*Scoring_Constants!$B$12+N(F39)*Scoring_Constants!$B$13+N(G39)*Scoring_Constants!$B$14)</f>
        <v/>
      </c>
    </row>
    <row r="40">
      <c r="H40">
        <f>IF(A40="","",N(C40)*Scoring_Constants!$B$10+N(D40)*Scoring_Constants!$B$11+N(E40)*Scoring_Constants!$B$12+N(F40)*Scoring_Constants!$B$13+N(G40)*Scoring_Constants!$B$14)</f>
        <v/>
      </c>
    </row>
    <row r="41">
      <c r="H41">
        <f>IF(A41="","",N(C41)*Scoring_Constants!$B$10+N(D41)*Scoring_Constants!$B$11+N(E41)*Scoring_Constants!$B$12+N(F41)*Scoring_Constants!$B$13+N(G41)*Scoring_Constants!$B$14)</f>
        <v/>
      </c>
    </row>
    <row r="42">
      <c r="H42">
        <f>IF(A42="","",N(C42)*Scoring_Constants!$B$10+N(D42)*Scoring_Constants!$B$11+N(E42)*Scoring_Constants!$B$12+N(F42)*Scoring_Constants!$B$13+N(G42)*Scoring_Constants!$B$14)</f>
        <v/>
      </c>
    </row>
    <row r="43">
      <c r="H43">
        <f>IF(A43="","",N(C43)*Scoring_Constants!$B$10+N(D43)*Scoring_Constants!$B$11+N(E43)*Scoring_Constants!$B$12+N(F43)*Scoring_Constants!$B$13+N(G43)*Scoring_Constants!$B$14)</f>
        <v/>
      </c>
    </row>
    <row r="44">
      <c r="H44">
        <f>IF(A44="","",N(C44)*Scoring_Constants!$B$10+N(D44)*Scoring_Constants!$B$11+N(E44)*Scoring_Constants!$B$12+N(F44)*Scoring_Constants!$B$13+N(G44)*Scoring_Constants!$B$14)</f>
        <v/>
      </c>
    </row>
    <row r="45">
      <c r="H45">
        <f>IF(A45="","",N(C45)*Scoring_Constants!$B$10+N(D45)*Scoring_Constants!$B$11+N(E45)*Scoring_Constants!$B$12+N(F45)*Scoring_Constants!$B$13+N(G45)*Scoring_Constants!$B$14)</f>
        <v/>
      </c>
    </row>
    <row r="46">
      <c r="H46">
        <f>IF(A46="","",N(C46)*Scoring_Constants!$B$10+N(D46)*Scoring_Constants!$B$11+N(E46)*Scoring_Constants!$B$12+N(F46)*Scoring_Constants!$B$13+N(G46)*Scoring_Constants!$B$14)</f>
        <v/>
      </c>
    </row>
    <row r="47">
      <c r="H47">
        <f>IF(A47="","",N(C47)*Scoring_Constants!$B$10+N(D47)*Scoring_Constants!$B$11+N(E47)*Scoring_Constants!$B$12+N(F47)*Scoring_Constants!$B$13+N(G47)*Scoring_Constants!$B$14)</f>
        <v/>
      </c>
    </row>
    <row r="48">
      <c r="H48">
        <f>IF(A48="","",N(C48)*Scoring_Constants!$B$10+N(D48)*Scoring_Constants!$B$11+N(E48)*Scoring_Constants!$B$12+N(F48)*Scoring_Constants!$B$13+N(G48)*Scoring_Constants!$B$14)</f>
        <v/>
      </c>
    </row>
    <row r="49">
      <c r="H49">
        <f>IF(A49="","",N(C49)*Scoring_Constants!$B$10+N(D49)*Scoring_Constants!$B$11+N(E49)*Scoring_Constants!$B$12+N(F49)*Scoring_Constants!$B$13+N(G49)*Scoring_Constants!$B$14)</f>
        <v/>
      </c>
    </row>
    <row r="50">
      <c r="H50">
        <f>IF(A50="","",N(C50)*Scoring_Constants!$B$10+N(D50)*Scoring_Constants!$B$11+N(E50)*Scoring_Constants!$B$12+N(F50)*Scoring_Constants!$B$13+N(G50)*Scoring_Constants!$B$14)</f>
        <v/>
      </c>
    </row>
    <row r="51">
      <c r="H51">
        <f>IF(A51="","",N(C51)*Scoring_Constants!$B$10+N(D51)*Scoring_Constants!$B$11+N(E51)*Scoring_Constants!$B$12+N(F51)*Scoring_Constants!$B$13+N(G51)*Scoring_Constants!$B$14)</f>
        <v/>
      </c>
    </row>
    <row r="52">
      <c r="H52">
        <f>IF(A52="","",N(C52)*Scoring_Constants!$B$10+N(D52)*Scoring_Constants!$B$11+N(E52)*Scoring_Constants!$B$12+N(F52)*Scoring_Constants!$B$13+N(G52)*Scoring_Constants!$B$14)</f>
        <v/>
      </c>
    </row>
    <row r="53">
      <c r="H53">
        <f>IF(A53="","",N(C53)*Scoring_Constants!$B$10+N(D53)*Scoring_Constants!$B$11+N(E53)*Scoring_Constants!$B$12+N(F53)*Scoring_Constants!$B$13+N(G53)*Scoring_Constants!$B$14)</f>
        <v/>
      </c>
    </row>
    <row r="54">
      <c r="H54">
        <f>IF(A54="","",N(C54)*Scoring_Constants!$B$10+N(D54)*Scoring_Constants!$B$11+N(E54)*Scoring_Constants!$B$12+N(F54)*Scoring_Constants!$B$13+N(G54)*Scoring_Constants!$B$14)</f>
        <v/>
      </c>
    </row>
    <row r="55">
      <c r="H55">
        <f>IF(A55="","",N(C55)*Scoring_Constants!$B$10+N(D55)*Scoring_Constants!$B$11+N(E55)*Scoring_Constants!$B$12+N(F55)*Scoring_Constants!$B$13+N(G55)*Scoring_Constants!$B$14)</f>
        <v/>
      </c>
    </row>
    <row r="56">
      <c r="H56">
        <f>IF(A56="","",N(C56)*Scoring_Constants!$B$10+N(D56)*Scoring_Constants!$B$11+N(E56)*Scoring_Constants!$B$12+N(F56)*Scoring_Constants!$B$13+N(G56)*Scoring_Constants!$B$14)</f>
        <v/>
      </c>
    </row>
    <row r="57">
      <c r="H57">
        <f>IF(A57="","",N(C57)*Scoring_Constants!$B$10+N(D57)*Scoring_Constants!$B$11+N(E57)*Scoring_Constants!$B$12+N(F57)*Scoring_Constants!$B$13+N(G57)*Scoring_Constants!$B$14)</f>
        <v/>
      </c>
    </row>
    <row r="58">
      <c r="H58">
        <f>IF(A58="","",N(C58)*Scoring_Constants!$B$10+N(D58)*Scoring_Constants!$B$11+N(E58)*Scoring_Constants!$B$12+N(F58)*Scoring_Constants!$B$13+N(G58)*Scoring_Constants!$B$14)</f>
        <v/>
      </c>
    </row>
    <row r="59">
      <c r="H59">
        <f>IF(A59="","",N(C59)*Scoring_Constants!$B$10+N(D59)*Scoring_Constants!$B$11+N(E59)*Scoring_Constants!$B$12+N(F59)*Scoring_Constants!$B$13+N(G59)*Scoring_Constants!$B$14)</f>
        <v/>
      </c>
    </row>
    <row r="60">
      <c r="H60">
        <f>IF(A60="","",N(C60)*Scoring_Constants!$B$10+N(D60)*Scoring_Constants!$B$11+N(E60)*Scoring_Constants!$B$12+N(F60)*Scoring_Constants!$B$13+N(G60)*Scoring_Constants!$B$14)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0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10" customWidth="1" min="4" max="4"/>
    <col width="8" customWidth="1" min="5" max="5"/>
    <col width="7" customWidth="1" min="6" max="6"/>
    <col width="9" customWidth="1" min="7" max="7"/>
    <col width="6" customWidth="1" min="8" max="8"/>
    <col width="14" customWidth="1" min="9" max="9"/>
    <col width="15" customWidth="1" min="10" max="10"/>
    <col width="50" customWidth="1" min="11" max="11"/>
    <col width="7" customWidth="1" min="12" max="12"/>
    <col width="12" customWidth="1" min="13" max="13"/>
    <col width="50" customWidth="1" min="14" max="14"/>
  </cols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Team_Name</t>
        </is>
      </c>
      <c r="D1" s="1" t="inlineStr">
        <is>
          <t>Position</t>
        </is>
      </c>
      <c r="E1" s="1" t="inlineStr">
        <is>
          <t>Active</t>
        </is>
      </c>
      <c r="F1" s="1" t="inlineStr">
        <is>
          <t>Goals</t>
        </is>
      </c>
      <c r="G1" s="1" t="inlineStr">
        <is>
          <t>Assists</t>
        </is>
      </c>
      <c r="H1" s="1" t="inlineStr">
        <is>
          <t>MOTM</t>
        </is>
      </c>
      <c r="I1" s="1" t="inlineStr">
        <is>
          <t>Clean_Sheets</t>
        </is>
      </c>
      <c r="J1" s="1" t="inlineStr">
        <is>
          <t>Penalty_Saves</t>
        </is>
      </c>
      <c r="K1" s="1" t="inlineStr">
        <is>
          <t>Total_Player_Points</t>
        </is>
      </c>
      <c r="L1" s="1" t="inlineStr">
        <is>
          <t>Notes</t>
        </is>
      </c>
      <c r="N1" s="3" t="inlineStr">
        <is>
          <t>Position values: GK / DEF / CB / MID / FWD. Clean sheets only score for GK and CB; penalty saves only for GK.</t>
        </is>
      </c>
    </row>
    <row r="2">
      <c r="A2" t="inlineStr">
        <is>
          <t>P001</t>
        </is>
      </c>
      <c r="B2" t="inlineStr">
        <is>
          <t>Player 1</t>
        </is>
      </c>
      <c r="C2" t="inlineStr">
        <is>
          <t>Team 1</t>
        </is>
      </c>
      <c r="D2" t="inlineStr">
        <is>
          <t>FWD</t>
        </is>
      </c>
      <c r="E2" t="b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>
        <f>IF(A2="","",F2*Scoring_Constants!$B$16+G2*Scoring_Constants!$B$17+H2*Scoring_Constants!$B$18+IF(OR(D2="GK",D2="CB"),I2*Scoring_Constants!$B$19,0)+IF(D2="GK",J2*Scoring_Constants!$B$20,0))</f>
        <v/>
      </c>
      <c r="L2" t="inlineStr"/>
    </row>
    <row r="3">
      <c r="A3" t="inlineStr">
        <is>
          <t>P002</t>
        </is>
      </c>
      <c r="B3" t="inlineStr">
        <is>
          <t>Player 2</t>
        </is>
      </c>
      <c r="C3" t="inlineStr">
        <is>
          <t>Team 2</t>
        </is>
      </c>
      <c r="D3" t="inlineStr">
        <is>
          <t>MID</t>
        </is>
      </c>
      <c r="E3" t="b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>
        <f>IF(A3="","",F3*Scoring_Constants!$B$16+G3*Scoring_Constants!$B$17+H3*Scoring_Constants!$B$18+IF(OR(D3="GK",D3="CB"),I3*Scoring_Constants!$B$19,0)+IF(D3="GK",J3*Scoring_Constants!$B$20,0))</f>
        <v/>
      </c>
      <c r="L3" t="inlineStr"/>
    </row>
    <row r="4">
      <c r="A4" t="inlineStr">
        <is>
          <t>P003</t>
        </is>
      </c>
      <c r="B4" t="inlineStr">
        <is>
          <t>Player 3</t>
        </is>
      </c>
      <c r="C4" t="inlineStr">
        <is>
          <t>Team 3</t>
        </is>
      </c>
      <c r="D4" t="inlineStr">
        <is>
          <t>DEF</t>
        </is>
      </c>
      <c r="E4" t="b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>
        <f>IF(A4="","",F4*Scoring_Constants!$B$16+G4*Scoring_Constants!$B$17+H4*Scoring_Constants!$B$18+IF(OR(D4="GK",D4="CB"),I4*Scoring_Constants!$B$19,0)+IF(D4="GK",J4*Scoring_Constants!$B$20,0))</f>
        <v/>
      </c>
      <c r="L4" t="inlineStr"/>
    </row>
    <row r="5">
      <c r="A5" t="inlineStr">
        <is>
          <t>P004</t>
        </is>
      </c>
      <c r="B5" t="inlineStr">
        <is>
          <t>Player 4</t>
        </is>
      </c>
      <c r="C5" t="inlineStr">
        <is>
          <t>Team 4</t>
        </is>
      </c>
      <c r="D5" t="inlineStr">
        <is>
          <t>GK</t>
        </is>
      </c>
      <c r="E5" t="b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>
        <f>IF(A5="","",F5*Scoring_Constants!$B$16+G5*Scoring_Constants!$B$17+H5*Scoring_Constants!$B$18+IF(OR(D5="GK",D5="CB"),I5*Scoring_Constants!$B$19,0)+IF(D5="GK",J5*Scoring_Constants!$B$20,0))</f>
        <v/>
      </c>
      <c r="L5" t="inlineStr"/>
    </row>
    <row r="6">
      <c r="K6">
        <f>IF(A6="","",F6*Scoring_Constants!$B$16+G6*Scoring_Constants!$B$17+H6*Scoring_Constants!$B$18+IF(OR(D6="GK",D6="CB"),I6*Scoring_Constants!$B$19,0)+IF(D6="GK",J6*Scoring_Constants!$B$20,0))</f>
        <v/>
      </c>
    </row>
    <row r="7">
      <c r="K7">
        <f>IF(A7="","",F7*Scoring_Constants!$B$16+G7*Scoring_Constants!$B$17+H7*Scoring_Constants!$B$18+IF(OR(D7="GK",D7="CB"),I7*Scoring_Constants!$B$19,0)+IF(D7="GK",J7*Scoring_Constants!$B$20,0))</f>
        <v/>
      </c>
    </row>
    <row r="8">
      <c r="K8">
        <f>IF(A8="","",F8*Scoring_Constants!$B$16+G8*Scoring_Constants!$B$17+H8*Scoring_Constants!$B$18+IF(OR(D8="GK",D8="CB"),I8*Scoring_Constants!$B$19,0)+IF(D8="GK",J8*Scoring_Constants!$B$20,0))</f>
        <v/>
      </c>
    </row>
    <row r="9">
      <c r="K9">
        <f>IF(A9="","",F9*Scoring_Constants!$B$16+G9*Scoring_Constants!$B$17+H9*Scoring_Constants!$B$18+IF(OR(D9="GK",D9="CB"),I9*Scoring_Constants!$B$19,0)+IF(D9="GK",J9*Scoring_Constants!$B$20,0))</f>
        <v/>
      </c>
    </row>
    <row r="10">
      <c r="K10">
        <f>IF(A10="","",F10*Scoring_Constants!$B$16+G10*Scoring_Constants!$B$17+H10*Scoring_Constants!$B$18+IF(OR(D10="GK",D10="CB"),I10*Scoring_Constants!$B$19,0)+IF(D10="GK",J10*Scoring_Constants!$B$20,0))</f>
        <v/>
      </c>
    </row>
    <row r="11">
      <c r="K11">
        <f>IF(A11="","",F11*Scoring_Constants!$B$16+G11*Scoring_Constants!$B$17+H11*Scoring_Constants!$B$18+IF(OR(D11="GK",D11="CB"),I11*Scoring_Constants!$B$19,0)+IF(D11="GK",J11*Scoring_Constants!$B$20,0))</f>
        <v/>
      </c>
    </row>
    <row r="12">
      <c r="K12">
        <f>IF(A12="","",F12*Scoring_Constants!$B$16+G12*Scoring_Constants!$B$17+H12*Scoring_Constants!$B$18+IF(OR(D12="GK",D12="CB"),I12*Scoring_Constants!$B$19,0)+IF(D12="GK",J12*Scoring_Constants!$B$20,0))</f>
        <v/>
      </c>
    </row>
    <row r="13">
      <c r="K13">
        <f>IF(A13="","",F13*Scoring_Constants!$B$16+G13*Scoring_Constants!$B$17+H13*Scoring_Constants!$B$18+IF(OR(D13="GK",D13="CB"),I13*Scoring_Constants!$B$19,0)+IF(D13="GK",J13*Scoring_Constants!$B$20,0))</f>
        <v/>
      </c>
    </row>
    <row r="14">
      <c r="K14">
        <f>IF(A14="","",F14*Scoring_Constants!$B$16+G14*Scoring_Constants!$B$17+H14*Scoring_Constants!$B$18+IF(OR(D14="GK",D14="CB"),I14*Scoring_Constants!$B$19,0)+IF(D14="GK",J14*Scoring_Constants!$B$20,0))</f>
        <v/>
      </c>
    </row>
    <row r="15">
      <c r="K15">
        <f>IF(A15="","",F15*Scoring_Constants!$B$16+G15*Scoring_Constants!$B$17+H15*Scoring_Constants!$B$18+IF(OR(D15="GK",D15="CB"),I15*Scoring_Constants!$B$19,0)+IF(D15="GK",J15*Scoring_Constants!$B$20,0))</f>
        <v/>
      </c>
    </row>
    <row r="16">
      <c r="K16">
        <f>IF(A16="","",F16*Scoring_Constants!$B$16+G16*Scoring_Constants!$B$17+H16*Scoring_Constants!$B$18+IF(OR(D16="GK",D16="CB"),I16*Scoring_Constants!$B$19,0)+IF(D16="GK",J16*Scoring_Constants!$B$20,0))</f>
        <v/>
      </c>
    </row>
    <row r="17">
      <c r="K17">
        <f>IF(A17="","",F17*Scoring_Constants!$B$16+G17*Scoring_Constants!$B$17+H17*Scoring_Constants!$B$18+IF(OR(D17="GK",D17="CB"),I17*Scoring_Constants!$B$19,0)+IF(D17="GK",J17*Scoring_Constants!$B$20,0))</f>
        <v/>
      </c>
    </row>
    <row r="18">
      <c r="K18">
        <f>IF(A18="","",F18*Scoring_Constants!$B$16+G18*Scoring_Constants!$B$17+H18*Scoring_Constants!$B$18+IF(OR(D18="GK",D18="CB"),I18*Scoring_Constants!$B$19,0)+IF(D18="GK",J18*Scoring_Constants!$B$20,0))</f>
        <v/>
      </c>
    </row>
    <row r="19">
      <c r="K19">
        <f>IF(A19="","",F19*Scoring_Constants!$B$16+G19*Scoring_Constants!$B$17+H19*Scoring_Constants!$B$18+IF(OR(D19="GK",D19="CB"),I19*Scoring_Constants!$B$19,0)+IF(D19="GK",J19*Scoring_Constants!$B$20,0))</f>
        <v/>
      </c>
    </row>
    <row r="20">
      <c r="K20">
        <f>IF(A20="","",F20*Scoring_Constants!$B$16+G20*Scoring_Constants!$B$17+H20*Scoring_Constants!$B$18+IF(OR(D20="GK",D20="CB"),I20*Scoring_Constants!$B$19,0)+IF(D20="GK",J20*Scoring_Constants!$B$20,0))</f>
        <v/>
      </c>
    </row>
    <row r="21">
      <c r="K21">
        <f>IF(A21="","",F21*Scoring_Constants!$B$16+G21*Scoring_Constants!$B$17+H21*Scoring_Constants!$B$18+IF(OR(D21="GK",D21="CB"),I21*Scoring_Constants!$B$19,0)+IF(D21="GK",J21*Scoring_Constants!$B$20,0))</f>
        <v/>
      </c>
    </row>
    <row r="22">
      <c r="K22">
        <f>IF(A22="","",F22*Scoring_Constants!$B$16+G22*Scoring_Constants!$B$17+H22*Scoring_Constants!$B$18+IF(OR(D22="GK",D22="CB"),I22*Scoring_Constants!$B$19,0)+IF(D22="GK",J22*Scoring_Constants!$B$20,0))</f>
        <v/>
      </c>
    </row>
    <row r="23">
      <c r="K23">
        <f>IF(A23="","",F23*Scoring_Constants!$B$16+G23*Scoring_Constants!$B$17+H23*Scoring_Constants!$B$18+IF(OR(D23="GK",D23="CB"),I23*Scoring_Constants!$B$19,0)+IF(D23="GK",J23*Scoring_Constants!$B$20,0))</f>
        <v/>
      </c>
    </row>
    <row r="24">
      <c r="K24">
        <f>IF(A24="","",F24*Scoring_Constants!$B$16+G24*Scoring_Constants!$B$17+H24*Scoring_Constants!$B$18+IF(OR(D24="GK",D24="CB"),I24*Scoring_Constants!$B$19,0)+IF(D24="GK",J24*Scoring_Constants!$B$20,0))</f>
        <v/>
      </c>
    </row>
    <row r="25">
      <c r="K25">
        <f>IF(A25="","",F25*Scoring_Constants!$B$16+G25*Scoring_Constants!$B$17+H25*Scoring_Constants!$B$18+IF(OR(D25="GK",D25="CB"),I25*Scoring_Constants!$B$19,0)+IF(D25="GK",J25*Scoring_Constants!$B$20,0))</f>
        <v/>
      </c>
    </row>
    <row r="26">
      <c r="K26">
        <f>IF(A26="","",F26*Scoring_Constants!$B$16+G26*Scoring_Constants!$B$17+H26*Scoring_Constants!$B$18+IF(OR(D26="GK",D26="CB"),I26*Scoring_Constants!$B$19,0)+IF(D26="GK",J26*Scoring_Constants!$B$20,0))</f>
        <v/>
      </c>
    </row>
    <row r="27">
      <c r="K27">
        <f>IF(A27="","",F27*Scoring_Constants!$B$16+G27*Scoring_Constants!$B$17+H27*Scoring_Constants!$B$18+IF(OR(D27="GK",D27="CB"),I27*Scoring_Constants!$B$19,0)+IF(D27="GK",J27*Scoring_Constants!$B$20,0))</f>
        <v/>
      </c>
    </row>
    <row r="28">
      <c r="K28">
        <f>IF(A28="","",F28*Scoring_Constants!$B$16+G28*Scoring_Constants!$B$17+H28*Scoring_Constants!$B$18+IF(OR(D28="GK",D28="CB"),I28*Scoring_Constants!$B$19,0)+IF(D28="GK",J28*Scoring_Constants!$B$20,0))</f>
        <v/>
      </c>
    </row>
    <row r="29">
      <c r="K29">
        <f>IF(A29="","",F29*Scoring_Constants!$B$16+G29*Scoring_Constants!$B$17+H29*Scoring_Constants!$B$18+IF(OR(D29="GK",D29="CB"),I29*Scoring_Constants!$B$19,0)+IF(D29="GK",J29*Scoring_Constants!$B$20,0))</f>
        <v/>
      </c>
    </row>
    <row r="30">
      <c r="K30">
        <f>IF(A30="","",F30*Scoring_Constants!$B$16+G30*Scoring_Constants!$B$17+H30*Scoring_Constants!$B$18+IF(OR(D30="GK",D30="CB"),I30*Scoring_Constants!$B$19,0)+IF(D30="GK",J30*Scoring_Constants!$B$20,0))</f>
        <v/>
      </c>
    </row>
    <row r="31">
      <c r="K31">
        <f>IF(A31="","",F31*Scoring_Constants!$B$16+G31*Scoring_Constants!$B$17+H31*Scoring_Constants!$B$18+IF(OR(D31="GK",D31="CB"),I31*Scoring_Constants!$B$19,0)+IF(D31="GK",J31*Scoring_Constants!$B$20,0))</f>
        <v/>
      </c>
    </row>
    <row r="32">
      <c r="K32">
        <f>IF(A32="","",F32*Scoring_Constants!$B$16+G32*Scoring_Constants!$B$17+H32*Scoring_Constants!$B$18+IF(OR(D32="GK",D32="CB"),I32*Scoring_Constants!$B$19,0)+IF(D32="GK",J32*Scoring_Constants!$B$20,0))</f>
        <v/>
      </c>
    </row>
    <row r="33">
      <c r="K33">
        <f>IF(A33="","",F33*Scoring_Constants!$B$16+G33*Scoring_Constants!$B$17+H33*Scoring_Constants!$B$18+IF(OR(D33="GK",D33="CB"),I33*Scoring_Constants!$B$19,0)+IF(D33="GK",J33*Scoring_Constants!$B$20,0))</f>
        <v/>
      </c>
    </row>
    <row r="34">
      <c r="K34">
        <f>IF(A34="","",F34*Scoring_Constants!$B$16+G34*Scoring_Constants!$B$17+H34*Scoring_Constants!$B$18+IF(OR(D34="GK",D34="CB"),I34*Scoring_Constants!$B$19,0)+IF(D34="GK",J34*Scoring_Constants!$B$20,0))</f>
        <v/>
      </c>
    </row>
    <row r="35">
      <c r="K35">
        <f>IF(A35="","",F35*Scoring_Constants!$B$16+G35*Scoring_Constants!$B$17+H35*Scoring_Constants!$B$18+IF(OR(D35="GK",D35="CB"),I35*Scoring_Constants!$B$19,0)+IF(D35="GK",J35*Scoring_Constants!$B$20,0))</f>
        <v/>
      </c>
    </row>
    <row r="36">
      <c r="K36">
        <f>IF(A36="","",F36*Scoring_Constants!$B$16+G36*Scoring_Constants!$B$17+H36*Scoring_Constants!$B$18+IF(OR(D36="GK",D36="CB"),I36*Scoring_Constants!$B$19,0)+IF(D36="GK",J36*Scoring_Constants!$B$20,0))</f>
        <v/>
      </c>
    </row>
    <row r="37">
      <c r="K37">
        <f>IF(A37="","",F37*Scoring_Constants!$B$16+G37*Scoring_Constants!$B$17+H37*Scoring_Constants!$B$18+IF(OR(D37="GK",D37="CB"),I37*Scoring_Constants!$B$19,0)+IF(D37="GK",J37*Scoring_Constants!$B$20,0))</f>
        <v/>
      </c>
    </row>
    <row r="38">
      <c r="K38">
        <f>IF(A38="","",F38*Scoring_Constants!$B$16+G38*Scoring_Constants!$B$17+H38*Scoring_Constants!$B$18+IF(OR(D38="GK",D38="CB"),I38*Scoring_Constants!$B$19,0)+IF(D38="GK",J38*Scoring_Constants!$B$20,0))</f>
        <v/>
      </c>
    </row>
    <row r="39">
      <c r="K39">
        <f>IF(A39="","",F39*Scoring_Constants!$B$16+G39*Scoring_Constants!$B$17+H39*Scoring_Constants!$B$18+IF(OR(D39="GK",D39="CB"),I39*Scoring_Constants!$B$19,0)+IF(D39="GK",J39*Scoring_Constants!$B$20,0))</f>
        <v/>
      </c>
    </row>
    <row r="40">
      <c r="K40">
        <f>IF(A40="","",F40*Scoring_Constants!$B$16+G40*Scoring_Constants!$B$17+H40*Scoring_Constants!$B$18+IF(OR(D40="GK",D40="CB"),I40*Scoring_Constants!$B$19,0)+IF(D40="GK",J40*Scoring_Constants!$B$20,0))</f>
        <v/>
      </c>
    </row>
    <row r="41">
      <c r="K41">
        <f>IF(A41="","",F41*Scoring_Constants!$B$16+G41*Scoring_Constants!$B$17+H41*Scoring_Constants!$B$18+IF(OR(D41="GK",D41="CB"),I41*Scoring_Constants!$B$19,0)+IF(D41="GK",J41*Scoring_Constants!$B$20,0))</f>
        <v/>
      </c>
    </row>
    <row r="42">
      <c r="K42">
        <f>IF(A42="","",F42*Scoring_Constants!$B$16+G42*Scoring_Constants!$B$17+H42*Scoring_Constants!$B$18+IF(OR(D42="GK",D42="CB"),I42*Scoring_Constants!$B$19,0)+IF(D42="GK",J42*Scoring_Constants!$B$20,0))</f>
        <v/>
      </c>
    </row>
    <row r="43">
      <c r="K43">
        <f>IF(A43="","",F43*Scoring_Constants!$B$16+G43*Scoring_Constants!$B$17+H43*Scoring_Constants!$B$18+IF(OR(D43="GK",D43="CB"),I43*Scoring_Constants!$B$19,0)+IF(D43="GK",J43*Scoring_Constants!$B$20,0))</f>
        <v/>
      </c>
    </row>
    <row r="44">
      <c r="K44">
        <f>IF(A44="","",F44*Scoring_Constants!$B$16+G44*Scoring_Constants!$B$17+H44*Scoring_Constants!$B$18+IF(OR(D44="GK",D44="CB"),I44*Scoring_Constants!$B$19,0)+IF(D44="GK",J44*Scoring_Constants!$B$20,0))</f>
        <v/>
      </c>
    </row>
    <row r="45">
      <c r="K45">
        <f>IF(A45="","",F45*Scoring_Constants!$B$16+G45*Scoring_Constants!$B$17+H45*Scoring_Constants!$B$18+IF(OR(D45="GK",D45="CB"),I45*Scoring_Constants!$B$19,0)+IF(D45="GK",J45*Scoring_Constants!$B$20,0))</f>
        <v/>
      </c>
    </row>
    <row r="46">
      <c r="K46">
        <f>IF(A46="","",F46*Scoring_Constants!$B$16+G46*Scoring_Constants!$B$17+H46*Scoring_Constants!$B$18+IF(OR(D46="GK",D46="CB"),I46*Scoring_Constants!$B$19,0)+IF(D46="GK",J46*Scoring_Constants!$B$20,0))</f>
        <v/>
      </c>
    </row>
    <row r="47">
      <c r="K47">
        <f>IF(A47="","",F47*Scoring_Constants!$B$16+G47*Scoring_Constants!$B$17+H47*Scoring_Constants!$B$18+IF(OR(D47="GK",D47="CB"),I47*Scoring_Constants!$B$19,0)+IF(D47="GK",J47*Scoring_Constants!$B$20,0))</f>
        <v/>
      </c>
    </row>
    <row r="48">
      <c r="K48">
        <f>IF(A48="","",F48*Scoring_Constants!$B$16+G48*Scoring_Constants!$B$17+H48*Scoring_Constants!$B$18+IF(OR(D48="GK",D48="CB"),I48*Scoring_Constants!$B$19,0)+IF(D48="GK",J48*Scoring_Constants!$B$20,0))</f>
        <v/>
      </c>
    </row>
    <row r="49">
      <c r="K49">
        <f>IF(A49="","",F49*Scoring_Constants!$B$16+G49*Scoring_Constants!$B$17+H49*Scoring_Constants!$B$18+IF(OR(D49="GK",D49="CB"),I49*Scoring_Constants!$B$19,0)+IF(D49="GK",J49*Scoring_Constants!$B$20,0))</f>
        <v/>
      </c>
    </row>
    <row r="50">
      <c r="K50">
        <f>IF(A50="","",F50*Scoring_Constants!$B$16+G50*Scoring_Constants!$B$17+H50*Scoring_Constants!$B$18+IF(OR(D50="GK",D50="CB"),I50*Scoring_Constants!$B$19,0)+IF(D50="GK",J50*Scoring_Constants!$B$20,0))</f>
        <v/>
      </c>
    </row>
    <row r="51">
      <c r="K51">
        <f>IF(A51="","",F51*Scoring_Constants!$B$16+G51*Scoring_Constants!$B$17+H51*Scoring_Constants!$B$18+IF(OR(D51="GK",D51="CB"),I51*Scoring_Constants!$B$19,0)+IF(D51="GK",J51*Scoring_Constants!$B$20,0))</f>
        <v/>
      </c>
    </row>
    <row r="52">
      <c r="K52">
        <f>IF(A52="","",F52*Scoring_Constants!$B$16+G52*Scoring_Constants!$B$17+H52*Scoring_Constants!$B$18+IF(OR(D52="GK",D52="CB"),I52*Scoring_Constants!$B$19,0)+IF(D52="GK",J52*Scoring_Constants!$B$20,0))</f>
        <v/>
      </c>
    </row>
    <row r="53">
      <c r="K53">
        <f>IF(A53="","",F53*Scoring_Constants!$B$16+G53*Scoring_Constants!$B$17+H53*Scoring_Constants!$B$18+IF(OR(D53="GK",D53="CB"),I53*Scoring_Constants!$B$19,0)+IF(D53="GK",J53*Scoring_Constants!$B$20,0))</f>
        <v/>
      </c>
    </row>
    <row r="54">
      <c r="K54">
        <f>IF(A54="","",F54*Scoring_Constants!$B$16+G54*Scoring_Constants!$B$17+H54*Scoring_Constants!$B$18+IF(OR(D54="GK",D54="CB"),I54*Scoring_Constants!$B$19,0)+IF(D54="GK",J54*Scoring_Constants!$B$20,0))</f>
        <v/>
      </c>
    </row>
    <row r="55">
      <c r="K55">
        <f>IF(A55="","",F55*Scoring_Constants!$B$16+G55*Scoring_Constants!$B$17+H55*Scoring_Constants!$B$18+IF(OR(D55="GK",D55="CB"),I55*Scoring_Constants!$B$19,0)+IF(D55="GK",J55*Scoring_Constants!$B$20,0))</f>
        <v/>
      </c>
    </row>
    <row r="56">
      <c r="K56">
        <f>IF(A56="","",F56*Scoring_Constants!$B$16+G56*Scoring_Constants!$B$17+H56*Scoring_Constants!$B$18+IF(OR(D56="GK",D56="CB"),I56*Scoring_Constants!$B$19,0)+IF(D56="GK",J56*Scoring_Constants!$B$20,0))</f>
        <v/>
      </c>
    </row>
    <row r="57">
      <c r="K57">
        <f>IF(A57="","",F57*Scoring_Constants!$B$16+G57*Scoring_Constants!$B$17+H57*Scoring_Constants!$B$18+IF(OR(D57="GK",D57="CB"),I57*Scoring_Constants!$B$19,0)+IF(D57="GK",J57*Scoring_Constants!$B$20,0))</f>
        <v/>
      </c>
    </row>
    <row r="58">
      <c r="K58">
        <f>IF(A58="","",F58*Scoring_Constants!$B$16+G58*Scoring_Constants!$B$17+H58*Scoring_Constants!$B$18+IF(OR(D58="GK",D58="CB"),I58*Scoring_Constants!$B$19,0)+IF(D58="GK",J58*Scoring_Constants!$B$20,0))</f>
        <v/>
      </c>
    </row>
    <row r="59">
      <c r="K59">
        <f>IF(A59="","",F59*Scoring_Constants!$B$16+G59*Scoring_Constants!$B$17+H59*Scoring_Constants!$B$18+IF(OR(D59="GK",D59="CB"),I59*Scoring_Constants!$B$19,0)+IF(D59="GK",J59*Scoring_Constants!$B$20,0))</f>
        <v/>
      </c>
    </row>
    <row r="60">
      <c r="K60">
        <f>IF(A60="","",F60*Scoring_Constants!$B$16+G60*Scoring_Constants!$B$17+H60*Scoring_Constants!$B$18+IF(OR(D60="GK",D60="CB"),I60*Scoring_Constants!$B$19,0)+IF(D60="GK",J60*Scoring_Constants!$B$20,0))</f>
        <v/>
      </c>
    </row>
    <row r="61">
      <c r="K61">
        <f>IF(A61="","",F61*Scoring_Constants!$B$16+G61*Scoring_Constants!$B$17+H61*Scoring_Constants!$B$18+IF(OR(D61="GK",D61="CB"),I61*Scoring_Constants!$B$19,0)+IF(D61="GK",J61*Scoring_Constants!$B$20,0))</f>
        <v/>
      </c>
    </row>
    <row r="62">
      <c r="K62">
        <f>IF(A62="","",F62*Scoring_Constants!$B$16+G62*Scoring_Constants!$B$17+H62*Scoring_Constants!$B$18+IF(OR(D62="GK",D62="CB"),I62*Scoring_Constants!$B$19,0)+IF(D62="GK",J62*Scoring_Constants!$B$20,0))</f>
        <v/>
      </c>
    </row>
    <row r="63">
      <c r="K63">
        <f>IF(A63="","",F63*Scoring_Constants!$B$16+G63*Scoring_Constants!$B$17+H63*Scoring_Constants!$B$18+IF(OR(D63="GK",D63="CB"),I63*Scoring_Constants!$B$19,0)+IF(D63="GK",J63*Scoring_Constants!$B$20,0))</f>
        <v/>
      </c>
    </row>
    <row r="64">
      <c r="K64">
        <f>IF(A64="","",F64*Scoring_Constants!$B$16+G64*Scoring_Constants!$B$17+H64*Scoring_Constants!$B$18+IF(OR(D64="GK",D64="CB"),I64*Scoring_Constants!$B$19,0)+IF(D64="GK",J64*Scoring_Constants!$B$20,0))</f>
        <v/>
      </c>
    </row>
    <row r="65">
      <c r="K65">
        <f>IF(A65="","",F65*Scoring_Constants!$B$16+G65*Scoring_Constants!$B$17+H65*Scoring_Constants!$B$18+IF(OR(D65="GK",D65="CB"),I65*Scoring_Constants!$B$19,0)+IF(D65="GK",J65*Scoring_Constants!$B$20,0))</f>
        <v/>
      </c>
    </row>
    <row r="66">
      <c r="K66">
        <f>IF(A66="","",F66*Scoring_Constants!$B$16+G66*Scoring_Constants!$B$17+H66*Scoring_Constants!$B$18+IF(OR(D66="GK",D66="CB"),I66*Scoring_Constants!$B$19,0)+IF(D66="GK",J66*Scoring_Constants!$B$20,0))</f>
        <v/>
      </c>
    </row>
    <row r="67">
      <c r="K67">
        <f>IF(A67="","",F67*Scoring_Constants!$B$16+G67*Scoring_Constants!$B$17+H67*Scoring_Constants!$B$18+IF(OR(D67="GK",D67="CB"),I67*Scoring_Constants!$B$19,0)+IF(D67="GK",J67*Scoring_Constants!$B$20,0))</f>
        <v/>
      </c>
    </row>
    <row r="68">
      <c r="K68">
        <f>IF(A68="","",F68*Scoring_Constants!$B$16+G68*Scoring_Constants!$B$17+H68*Scoring_Constants!$B$18+IF(OR(D68="GK",D68="CB"),I68*Scoring_Constants!$B$19,0)+IF(D68="GK",J68*Scoring_Constants!$B$20,0))</f>
        <v/>
      </c>
    </row>
    <row r="69">
      <c r="K69">
        <f>IF(A69="","",F69*Scoring_Constants!$B$16+G69*Scoring_Constants!$B$17+H69*Scoring_Constants!$B$18+IF(OR(D69="GK",D69="CB"),I69*Scoring_Constants!$B$19,0)+IF(D69="GK",J69*Scoring_Constants!$B$20,0))</f>
        <v/>
      </c>
    </row>
    <row r="70">
      <c r="K70">
        <f>IF(A70="","",F70*Scoring_Constants!$B$16+G70*Scoring_Constants!$B$17+H70*Scoring_Constants!$B$18+IF(OR(D70="GK",D70="CB"),I70*Scoring_Constants!$B$19,0)+IF(D70="GK",J70*Scoring_Constants!$B$20,0))</f>
        <v/>
      </c>
    </row>
    <row r="71">
      <c r="K71">
        <f>IF(A71="","",F71*Scoring_Constants!$B$16+G71*Scoring_Constants!$B$17+H71*Scoring_Constants!$B$18+IF(OR(D71="GK",D71="CB"),I71*Scoring_Constants!$B$19,0)+IF(D71="GK",J71*Scoring_Constants!$B$20,0))</f>
        <v/>
      </c>
    </row>
    <row r="72">
      <c r="K72">
        <f>IF(A72="","",F72*Scoring_Constants!$B$16+G72*Scoring_Constants!$B$17+H72*Scoring_Constants!$B$18+IF(OR(D72="GK",D72="CB"),I72*Scoring_Constants!$B$19,0)+IF(D72="GK",J72*Scoring_Constants!$B$20,0))</f>
        <v/>
      </c>
    </row>
    <row r="73">
      <c r="K73">
        <f>IF(A73="","",F73*Scoring_Constants!$B$16+G73*Scoring_Constants!$B$17+H73*Scoring_Constants!$B$18+IF(OR(D73="GK",D73="CB"),I73*Scoring_Constants!$B$19,0)+IF(D73="GK",J73*Scoring_Constants!$B$20,0))</f>
        <v/>
      </c>
    </row>
    <row r="74">
      <c r="K74">
        <f>IF(A74="","",F74*Scoring_Constants!$B$16+G74*Scoring_Constants!$B$17+H74*Scoring_Constants!$B$18+IF(OR(D74="GK",D74="CB"),I74*Scoring_Constants!$B$19,0)+IF(D74="GK",J74*Scoring_Constants!$B$20,0))</f>
        <v/>
      </c>
    </row>
    <row r="75">
      <c r="K75">
        <f>IF(A75="","",F75*Scoring_Constants!$B$16+G75*Scoring_Constants!$B$17+H75*Scoring_Constants!$B$18+IF(OR(D75="GK",D75="CB"),I75*Scoring_Constants!$B$19,0)+IF(D75="GK",J75*Scoring_Constants!$B$20,0))</f>
        <v/>
      </c>
    </row>
    <row r="76">
      <c r="K76">
        <f>IF(A76="","",F76*Scoring_Constants!$B$16+G76*Scoring_Constants!$B$17+H76*Scoring_Constants!$B$18+IF(OR(D76="GK",D76="CB"),I76*Scoring_Constants!$B$19,0)+IF(D76="GK",J76*Scoring_Constants!$B$20,0))</f>
        <v/>
      </c>
    </row>
    <row r="77">
      <c r="K77">
        <f>IF(A77="","",F77*Scoring_Constants!$B$16+G77*Scoring_Constants!$B$17+H77*Scoring_Constants!$B$18+IF(OR(D77="GK",D77="CB"),I77*Scoring_Constants!$B$19,0)+IF(D77="GK",J77*Scoring_Constants!$B$20,0))</f>
        <v/>
      </c>
    </row>
    <row r="78">
      <c r="K78">
        <f>IF(A78="","",F78*Scoring_Constants!$B$16+G78*Scoring_Constants!$B$17+H78*Scoring_Constants!$B$18+IF(OR(D78="GK",D78="CB"),I78*Scoring_Constants!$B$19,0)+IF(D78="GK",J78*Scoring_Constants!$B$20,0))</f>
        <v/>
      </c>
    </row>
    <row r="79">
      <c r="K79">
        <f>IF(A79="","",F79*Scoring_Constants!$B$16+G79*Scoring_Constants!$B$17+H79*Scoring_Constants!$B$18+IF(OR(D79="GK",D79="CB"),I79*Scoring_Constants!$B$19,0)+IF(D79="GK",J79*Scoring_Constants!$B$20,0))</f>
        <v/>
      </c>
    </row>
    <row r="80">
      <c r="K80">
        <f>IF(A80="","",F80*Scoring_Constants!$B$16+G80*Scoring_Constants!$B$17+H80*Scoring_Constants!$B$18+IF(OR(D80="GK",D80="CB"),I80*Scoring_Constants!$B$19,0)+IF(D80="GK",J80*Scoring_Constants!$B$20,0))</f>
        <v/>
      </c>
    </row>
    <row r="81">
      <c r="K81">
        <f>IF(A81="","",F81*Scoring_Constants!$B$16+G81*Scoring_Constants!$B$17+H81*Scoring_Constants!$B$18+IF(OR(D81="GK",D81="CB"),I81*Scoring_Constants!$B$19,0)+IF(D81="GK",J81*Scoring_Constants!$B$20,0))</f>
        <v/>
      </c>
    </row>
    <row r="82">
      <c r="K82">
        <f>IF(A82="","",F82*Scoring_Constants!$B$16+G82*Scoring_Constants!$B$17+H82*Scoring_Constants!$B$18+IF(OR(D82="GK",D82="CB"),I82*Scoring_Constants!$B$19,0)+IF(D82="GK",J82*Scoring_Constants!$B$20,0))</f>
        <v/>
      </c>
    </row>
    <row r="83">
      <c r="K83">
        <f>IF(A83="","",F83*Scoring_Constants!$B$16+G83*Scoring_Constants!$B$17+H83*Scoring_Constants!$B$18+IF(OR(D83="GK",D83="CB"),I83*Scoring_Constants!$B$19,0)+IF(D83="GK",J83*Scoring_Constants!$B$20,0))</f>
        <v/>
      </c>
    </row>
    <row r="84">
      <c r="K84">
        <f>IF(A84="","",F84*Scoring_Constants!$B$16+G84*Scoring_Constants!$B$17+H84*Scoring_Constants!$B$18+IF(OR(D84="GK",D84="CB"),I84*Scoring_Constants!$B$19,0)+IF(D84="GK",J84*Scoring_Constants!$B$20,0))</f>
        <v/>
      </c>
    </row>
    <row r="85">
      <c r="K85">
        <f>IF(A85="","",F85*Scoring_Constants!$B$16+G85*Scoring_Constants!$B$17+H85*Scoring_Constants!$B$18+IF(OR(D85="GK",D85="CB"),I85*Scoring_Constants!$B$19,0)+IF(D85="GK",J85*Scoring_Constants!$B$20,0))</f>
        <v/>
      </c>
    </row>
    <row r="86">
      <c r="K86">
        <f>IF(A86="","",F86*Scoring_Constants!$B$16+G86*Scoring_Constants!$B$17+H86*Scoring_Constants!$B$18+IF(OR(D86="GK",D86="CB"),I86*Scoring_Constants!$B$19,0)+IF(D86="GK",J86*Scoring_Constants!$B$20,0))</f>
        <v/>
      </c>
    </row>
    <row r="87">
      <c r="K87">
        <f>IF(A87="","",F87*Scoring_Constants!$B$16+G87*Scoring_Constants!$B$17+H87*Scoring_Constants!$B$18+IF(OR(D87="GK",D87="CB"),I87*Scoring_Constants!$B$19,0)+IF(D87="GK",J87*Scoring_Constants!$B$20,0))</f>
        <v/>
      </c>
    </row>
    <row r="88">
      <c r="K88">
        <f>IF(A88="","",F88*Scoring_Constants!$B$16+G88*Scoring_Constants!$B$17+H88*Scoring_Constants!$B$18+IF(OR(D88="GK",D88="CB"),I88*Scoring_Constants!$B$19,0)+IF(D88="GK",J88*Scoring_Constants!$B$20,0))</f>
        <v/>
      </c>
    </row>
    <row r="89">
      <c r="K89">
        <f>IF(A89="","",F89*Scoring_Constants!$B$16+G89*Scoring_Constants!$B$17+H89*Scoring_Constants!$B$18+IF(OR(D89="GK",D89="CB"),I89*Scoring_Constants!$B$19,0)+IF(D89="GK",J89*Scoring_Constants!$B$20,0))</f>
        <v/>
      </c>
    </row>
    <row r="90">
      <c r="K90">
        <f>IF(A90="","",F90*Scoring_Constants!$B$16+G90*Scoring_Constants!$B$17+H90*Scoring_Constants!$B$18+IF(OR(D90="GK",D90="CB"),I90*Scoring_Constants!$B$19,0)+IF(D90="GK",J90*Scoring_Constants!$B$20,0))</f>
        <v/>
      </c>
    </row>
    <row r="91">
      <c r="K91">
        <f>IF(A91="","",F91*Scoring_Constants!$B$16+G91*Scoring_Constants!$B$17+H91*Scoring_Constants!$B$18+IF(OR(D91="GK",D91="CB"),I91*Scoring_Constants!$B$19,0)+IF(D91="GK",J91*Scoring_Constants!$B$20,0))</f>
        <v/>
      </c>
    </row>
    <row r="92">
      <c r="K92">
        <f>IF(A92="","",F92*Scoring_Constants!$B$16+G92*Scoring_Constants!$B$17+H92*Scoring_Constants!$B$18+IF(OR(D92="GK",D92="CB"),I92*Scoring_Constants!$B$19,0)+IF(D92="GK",J92*Scoring_Constants!$B$20,0))</f>
        <v/>
      </c>
    </row>
    <row r="93">
      <c r="K93">
        <f>IF(A93="","",F93*Scoring_Constants!$B$16+G93*Scoring_Constants!$B$17+H93*Scoring_Constants!$B$18+IF(OR(D93="GK",D93="CB"),I93*Scoring_Constants!$B$19,0)+IF(D93="GK",J93*Scoring_Constants!$B$20,0))</f>
        <v/>
      </c>
    </row>
    <row r="94">
      <c r="K94">
        <f>IF(A94="","",F94*Scoring_Constants!$B$16+G94*Scoring_Constants!$B$17+H94*Scoring_Constants!$B$18+IF(OR(D94="GK",D94="CB"),I94*Scoring_Constants!$B$19,0)+IF(D94="GK",J94*Scoring_Constants!$B$20,0))</f>
        <v/>
      </c>
    </row>
    <row r="95">
      <c r="K95">
        <f>IF(A95="","",F95*Scoring_Constants!$B$16+G95*Scoring_Constants!$B$17+H95*Scoring_Constants!$B$18+IF(OR(D95="GK",D95="CB"),I95*Scoring_Constants!$B$19,0)+IF(D95="GK",J95*Scoring_Constants!$B$20,0))</f>
        <v/>
      </c>
    </row>
    <row r="96">
      <c r="K96">
        <f>IF(A96="","",F96*Scoring_Constants!$B$16+G96*Scoring_Constants!$B$17+H96*Scoring_Constants!$B$18+IF(OR(D96="GK",D96="CB"),I96*Scoring_Constants!$B$19,0)+IF(D96="GK",J96*Scoring_Constants!$B$20,0))</f>
        <v/>
      </c>
    </row>
    <row r="97">
      <c r="K97">
        <f>IF(A97="","",F97*Scoring_Constants!$B$16+G97*Scoring_Constants!$B$17+H97*Scoring_Constants!$B$18+IF(OR(D97="GK",D97="CB"),I97*Scoring_Constants!$B$19,0)+IF(D97="GK",J97*Scoring_Constants!$B$20,0))</f>
        <v/>
      </c>
    </row>
    <row r="98">
      <c r="K98">
        <f>IF(A98="","",F98*Scoring_Constants!$B$16+G98*Scoring_Constants!$B$17+H98*Scoring_Constants!$B$18+IF(OR(D98="GK",D98="CB"),I98*Scoring_Constants!$B$19,0)+IF(D98="GK",J98*Scoring_Constants!$B$20,0))</f>
        <v/>
      </c>
    </row>
    <row r="99">
      <c r="K99">
        <f>IF(A99="","",F99*Scoring_Constants!$B$16+G99*Scoring_Constants!$B$17+H99*Scoring_Constants!$B$18+IF(OR(D99="GK",D99="CB"),I99*Scoring_Constants!$B$19,0)+IF(D99="GK",J99*Scoring_Constants!$B$20,0))</f>
        <v/>
      </c>
    </row>
    <row r="100">
      <c r="K100">
        <f>IF(A100="","",F100*Scoring_Constants!$B$16+G100*Scoring_Constants!$B$17+H100*Scoring_Constants!$B$18+IF(OR(D100="GK",D100="CB"),I100*Scoring_Constants!$B$19,0)+IF(D100="GK",J100*Scoring_Constants!$B$20,0))</f>
        <v/>
      </c>
    </row>
    <row r="101">
      <c r="K101">
        <f>IF(A101="","",F101*Scoring_Constants!$B$16+G101*Scoring_Constants!$B$17+H101*Scoring_Constants!$B$18+IF(OR(D101="GK",D101="CB"),I101*Scoring_Constants!$B$19,0)+IF(D101="GK",J101*Scoring_Constants!$B$20,0))</f>
        <v/>
      </c>
    </row>
    <row r="102">
      <c r="K102">
        <f>IF(A102="","",F102*Scoring_Constants!$B$16+G102*Scoring_Constants!$B$17+H102*Scoring_Constants!$B$18+IF(OR(D102="GK",D102="CB"),I102*Scoring_Constants!$B$19,0)+IF(D102="GK",J102*Scoring_Constants!$B$20,0))</f>
        <v/>
      </c>
    </row>
    <row r="103">
      <c r="K103">
        <f>IF(A103="","",F103*Scoring_Constants!$B$16+G103*Scoring_Constants!$B$17+H103*Scoring_Constants!$B$18+IF(OR(D103="GK",D103="CB"),I103*Scoring_Constants!$B$19,0)+IF(D103="GK",J103*Scoring_Constants!$B$20,0))</f>
        <v/>
      </c>
    </row>
    <row r="104">
      <c r="K104">
        <f>IF(A104="","",F104*Scoring_Constants!$B$16+G104*Scoring_Constants!$B$17+H104*Scoring_Constants!$B$18+IF(OR(D104="GK",D104="CB"),I104*Scoring_Constants!$B$19,0)+IF(D104="GK",J104*Scoring_Constants!$B$20,0))</f>
        <v/>
      </c>
    </row>
    <row r="105">
      <c r="K105">
        <f>IF(A105="","",F105*Scoring_Constants!$B$16+G105*Scoring_Constants!$B$17+H105*Scoring_Constants!$B$18+IF(OR(D105="GK",D105="CB"),I105*Scoring_Constants!$B$19,0)+IF(D105="GK",J105*Scoring_Constants!$B$20,0))</f>
        <v/>
      </c>
    </row>
    <row r="106">
      <c r="K106">
        <f>IF(A106="","",F106*Scoring_Constants!$B$16+G106*Scoring_Constants!$B$17+H106*Scoring_Constants!$B$18+IF(OR(D106="GK",D106="CB"),I106*Scoring_Constants!$B$19,0)+IF(D106="GK",J106*Scoring_Constants!$B$20,0))</f>
        <v/>
      </c>
    </row>
    <row r="107">
      <c r="K107">
        <f>IF(A107="","",F107*Scoring_Constants!$B$16+G107*Scoring_Constants!$B$17+H107*Scoring_Constants!$B$18+IF(OR(D107="GK",D107="CB"),I107*Scoring_Constants!$B$19,0)+IF(D107="GK",J107*Scoring_Constants!$B$20,0))</f>
        <v/>
      </c>
    </row>
    <row r="108">
      <c r="K108">
        <f>IF(A108="","",F108*Scoring_Constants!$B$16+G108*Scoring_Constants!$B$17+H108*Scoring_Constants!$B$18+IF(OR(D108="GK",D108="CB"),I108*Scoring_Constants!$B$19,0)+IF(D108="GK",J108*Scoring_Constants!$B$20,0))</f>
        <v/>
      </c>
    </row>
    <row r="109">
      <c r="K109">
        <f>IF(A109="","",F109*Scoring_Constants!$B$16+G109*Scoring_Constants!$B$17+H109*Scoring_Constants!$B$18+IF(OR(D109="GK",D109="CB"),I109*Scoring_Constants!$B$19,0)+IF(D109="GK",J109*Scoring_Constants!$B$20,0))</f>
        <v/>
      </c>
    </row>
    <row r="110">
      <c r="K110">
        <f>IF(A110="","",F110*Scoring_Constants!$B$16+G110*Scoring_Constants!$B$17+H110*Scoring_Constants!$B$18+IF(OR(D110="GK",D110="CB"),I110*Scoring_Constants!$B$19,0)+IF(D110="GK",J110*Scoring_Constants!$B$20,0))</f>
        <v/>
      </c>
    </row>
    <row r="111">
      <c r="K111">
        <f>IF(A111="","",F111*Scoring_Constants!$B$16+G111*Scoring_Constants!$B$17+H111*Scoring_Constants!$B$18+IF(OR(D111="GK",D111="CB"),I111*Scoring_Constants!$B$19,0)+IF(D111="GK",J111*Scoring_Constants!$B$20,0))</f>
        <v/>
      </c>
    </row>
    <row r="112">
      <c r="K112">
        <f>IF(A112="","",F112*Scoring_Constants!$B$16+G112*Scoring_Constants!$B$17+H112*Scoring_Constants!$B$18+IF(OR(D112="GK",D112="CB"),I112*Scoring_Constants!$B$19,0)+IF(D112="GK",J112*Scoring_Constants!$B$20,0))</f>
        <v/>
      </c>
    </row>
    <row r="113">
      <c r="K113">
        <f>IF(A113="","",F113*Scoring_Constants!$B$16+G113*Scoring_Constants!$B$17+H113*Scoring_Constants!$B$18+IF(OR(D113="GK",D113="CB"),I113*Scoring_Constants!$B$19,0)+IF(D113="GK",J113*Scoring_Constants!$B$20,0))</f>
        <v/>
      </c>
    </row>
    <row r="114">
      <c r="K114">
        <f>IF(A114="","",F114*Scoring_Constants!$B$16+G114*Scoring_Constants!$B$17+H114*Scoring_Constants!$B$18+IF(OR(D114="GK",D114="CB"),I114*Scoring_Constants!$B$19,0)+IF(D114="GK",J114*Scoring_Constants!$B$20,0))</f>
        <v/>
      </c>
    </row>
    <row r="115">
      <c r="K115">
        <f>IF(A115="","",F115*Scoring_Constants!$B$16+G115*Scoring_Constants!$B$17+H115*Scoring_Constants!$B$18+IF(OR(D115="GK",D115="CB"),I115*Scoring_Constants!$B$19,0)+IF(D115="GK",J115*Scoring_Constants!$B$20,0))</f>
        <v/>
      </c>
    </row>
    <row r="116">
      <c r="K116">
        <f>IF(A116="","",F116*Scoring_Constants!$B$16+G116*Scoring_Constants!$B$17+H116*Scoring_Constants!$B$18+IF(OR(D116="GK",D116="CB"),I116*Scoring_Constants!$B$19,0)+IF(D116="GK",J116*Scoring_Constants!$B$20,0))</f>
        <v/>
      </c>
    </row>
    <row r="117">
      <c r="K117">
        <f>IF(A117="","",F117*Scoring_Constants!$B$16+G117*Scoring_Constants!$B$17+H117*Scoring_Constants!$B$18+IF(OR(D117="GK",D117="CB"),I117*Scoring_Constants!$B$19,0)+IF(D117="GK",J117*Scoring_Constants!$B$20,0))</f>
        <v/>
      </c>
    </row>
    <row r="118">
      <c r="K118">
        <f>IF(A118="","",F118*Scoring_Constants!$B$16+G118*Scoring_Constants!$B$17+H118*Scoring_Constants!$B$18+IF(OR(D118="GK",D118="CB"),I118*Scoring_Constants!$B$19,0)+IF(D118="GK",J118*Scoring_Constants!$B$20,0))</f>
        <v/>
      </c>
    </row>
    <row r="119">
      <c r="K119">
        <f>IF(A119="","",F119*Scoring_Constants!$B$16+G119*Scoring_Constants!$B$17+H119*Scoring_Constants!$B$18+IF(OR(D119="GK",D119="CB"),I119*Scoring_Constants!$B$19,0)+IF(D119="GK",J119*Scoring_Constants!$B$20,0))</f>
        <v/>
      </c>
    </row>
    <row r="120">
      <c r="K120">
        <f>IF(A120="","",F120*Scoring_Constants!$B$16+G120*Scoring_Constants!$B$17+H120*Scoring_Constants!$B$18+IF(OR(D120="GK",D120="CB"),I120*Scoring_Constants!$B$19,0)+IF(D120="GK",J120*Scoring_Constants!$B$20,0))</f>
        <v/>
      </c>
    </row>
    <row r="121">
      <c r="K121">
        <f>IF(A121="","",F121*Scoring_Constants!$B$16+G121*Scoring_Constants!$B$17+H121*Scoring_Constants!$B$18+IF(OR(D121="GK",D121="CB"),I121*Scoring_Constants!$B$19,0)+IF(D121="GK",J121*Scoring_Constants!$B$20,0))</f>
        <v/>
      </c>
    </row>
    <row r="122">
      <c r="K122">
        <f>IF(A122="","",F122*Scoring_Constants!$B$16+G122*Scoring_Constants!$B$17+H122*Scoring_Constants!$B$18+IF(OR(D122="GK",D122="CB"),I122*Scoring_Constants!$B$19,0)+IF(D122="GK",J122*Scoring_Constants!$B$20,0))</f>
        <v/>
      </c>
    </row>
    <row r="123">
      <c r="K123">
        <f>IF(A123="","",F123*Scoring_Constants!$B$16+G123*Scoring_Constants!$B$17+H123*Scoring_Constants!$B$18+IF(OR(D123="GK",D123="CB"),I123*Scoring_Constants!$B$19,0)+IF(D123="GK",J123*Scoring_Constants!$B$20,0))</f>
        <v/>
      </c>
    </row>
    <row r="124">
      <c r="K124">
        <f>IF(A124="","",F124*Scoring_Constants!$B$16+G124*Scoring_Constants!$B$17+H124*Scoring_Constants!$B$18+IF(OR(D124="GK",D124="CB"),I124*Scoring_Constants!$B$19,0)+IF(D124="GK",J124*Scoring_Constants!$B$20,0))</f>
        <v/>
      </c>
    </row>
    <row r="125">
      <c r="K125">
        <f>IF(A125="","",F125*Scoring_Constants!$B$16+G125*Scoring_Constants!$B$17+H125*Scoring_Constants!$B$18+IF(OR(D125="GK",D125="CB"),I125*Scoring_Constants!$B$19,0)+IF(D125="GK",J125*Scoring_Constants!$B$20,0))</f>
        <v/>
      </c>
    </row>
    <row r="126">
      <c r="K126">
        <f>IF(A126="","",F126*Scoring_Constants!$B$16+G126*Scoring_Constants!$B$17+H126*Scoring_Constants!$B$18+IF(OR(D126="GK",D126="CB"),I126*Scoring_Constants!$B$19,0)+IF(D126="GK",J126*Scoring_Constants!$B$20,0))</f>
        <v/>
      </c>
    </row>
    <row r="127">
      <c r="K127">
        <f>IF(A127="","",F127*Scoring_Constants!$B$16+G127*Scoring_Constants!$B$17+H127*Scoring_Constants!$B$18+IF(OR(D127="GK",D127="CB"),I127*Scoring_Constants!$B$19,0)+IF(D127="GK",J127*Scoring_Constants!$B$20,0))</f>
        <v/>
      </c>
    </row>
    <row r="128">
      <c r="K128">
        <f>IF(A128="","",F128*Scoring_Constants!$B$16+G128*Scoring_Constants!$B$17+H128*Scoring_Constants!$B$18+IF(OR(D128="GK",D128="CB"),I128*Scoring_Constants!$B$19,0)+IF(D128="GK",J128*Scoring_Constants!$B$20,0))</f>
        <v/>
      </c>
    </row>
    <row r="129">
      <c r="K129">
        <f>IF(A129="","",F129*Scoring_Constants!$B$16+G129*Scoring_Constants!$B$17+H129*Scoring_Constants!$B$18+IF(OR(D129="GK",D129="CB"),I129*Scoring_Constants!$B$19,0)+IF(D129="GK",J129*Scoring_Constants!$B$20,0))</f>
        <v/>
      </c>
    </row>
    <row r="130">
      <c r="K130">
        <f>IF(A130="","",F130*Scoring_Constants!$B$16+G130*Scoring_Constants!$B$17+H130*Scoring_Constants!$B$18+IF(OR(D130="GK",D130="CB"),I130*Scoring_Constants!$B$19,0)+IF(D130="GK",J130*Scoring_Constants!$B$20,0))</f>
        <v/>
      </c>
    </row>
    <row r="131">
      <c r="K131">
        <f>IF(A131="","",F131*Scoring_Constants!$B$16+G131*Scoring_Constants!$B$17+H131*Scoring_Constants!$B$18+IF(OR(D131="GK",D131="CB"),I131*Scoring_Constants!$B$19,0)+IF(D131="GK",J131*Scoring_Constants!$B$20,0))</f>
        <v/>
      </c>
    </row>
    <row r="132">
      <c r="K132">
        <f>IF(A132="","",F132*Scoring_Constants!$B$16+G132*Scoring_Constants!$B$17+H132*Scoring_Constants!$B$18+IF(OR(D132="GK",D132="CB"),I132*Scoring_Constants!$B$19,0)+IF(D132="GK",J132*Scoring_Constants!$B$20,0))</f>
        <v/>
      </c>
    </row>
    <row r="133">
      <c r="K133">
        <f>IF(A133="","",F133*Scoring_Constants!$B$16+G133*Scoring_Constants!$B$17+H133*Scoring_Constants!$B$18+IF(OR(D133="GK",D133="CB"),I133*Scoring_Constants!$B$19,0)+IF(D133="GK",J133*Scoring_Constants!$B$20,0))</f>
        <v/>
      </c>
    </row>
    <row r="134">
      <c r="K134">
        <f>IF(A134="","",F134*Scoring_Constants!$B$16+G134*Scoring_Constants!$B$17+H134*Scoring_Constants!$B$18+IF(OR(D134="GK",D134="CB"),I134*Scoring_Constants!$B$19,0)+IF(D134="GK",J134*Scoring_Constants!$B$20,0))</f>
        <v/>
      </c>
    </row>
    <row r="135">
      <c r="K135">
        <f>IF(A135="","",F135*Scoring_Constants!$B$16+G135*Scoring_Constants!$B$17+H135*Scoring_Constants!$B$18+IF(OR(D135="GK",D135="CB"),I135*Scoring_Constants!$B$19,0)+IF(D135="GK",J135*Scoring_Constants!$B$20,0))</f>
        <v/>
      </c>
    </row>
    <row r="136">
      <c r="K136">
        <f>IF(A136="","",F136*Scoring_Constants!$B$16+G136*Scoring_Constants!$B$17+H136*Scoring_Constants!$B$18+IF(OR(D136="GK",D136="CB"),I136*Scoring_Constants!$B$19,0)+IF(D136="GK",J136*Scoring_Constants!$B$20,0))</f>
        <v/>
      </c>
    </row>
    <row r="137">
      <c r="K137">
        <f>IF(A137="","",F137*Scoring_Constants!$B$16+G137*Scoring_Constants!$B$17+H137*Scoring_Constants!$B$18+IF(OR(D137="GK",D137="CB"),I137*Scoring_Constants!$B$19,0)+IF(D137="GK",J137*Scoring_Constants!$B$20,0))</f>
        <v/>
      </c>
    </row>
    <row r="138">
      <c r="K138">
        <f>IF(A138="","",F138*Scoring_Constants!$B$16+G138*Scoring_Constants!$B$17+H138*Scoring_Constants!$B$18+IF(OR(D138="GK",D138="CB"),I138*Scoring_Constants!$B$19,0)+IF(D138="GK",J138*Scoring_Constants!$B$20,0))</f>
        <v/>
      </c>
    </row>
    <row r="139">
      <c r="K139">
        <f>IF(A139="","",F139*Scoring_Constants!$B$16+G139*Scoring_Constants!$B$17+H139*Scoring_Constants!$B$18+IF(OR(D139="GK",D139="CB"),I139*Scoring_Constants!$B$19,0)+IF(D139="GK",J139*Scoring_Constants!$B$20,0))</f>
        <v/>
      </c>
    </row>
    <row r="140">
      <c r="K140">
        <f>IF(A140="","",F140*Scoring_Constants!$B$16+G140*Scoring_Constants!$B$17+H140*Scoring_Constants!$B$18+IF(OR(D140="GK",D140="CB"),I140*Scoring_Constants!$B$19,0)+IF(D140="GK",J140*Scoring_Constants!$B$20,0))</f>
        <v/>
      </c>
    </row>
    <row r="141">
      <c r="K141">
        <f>IF(A141="","",F141*Scoring_Constants!$B$16+G141*Scoring_Constants!$B$17+H141*Scoring_Constants!$B$18+IF(OR(D141="GK",D141="CB"),I141*Scoring_Constants!$B$19,0)+IF(D141="GK",J141*Scoring_Constants!$B$20,0))</f>
        <v/>
      </c>
    </row>
    <row r="142">
      <c r="K142">
        <f>IF(A142="","",F142*Scoring_Constants!$B$16+G142*Scoring_Constants!$B$17+H142*Scoring_Constants!$B$18+IF(OR(D142="GK",D142="CB"),I142*Scoring_Constants!$B$19,0)+IF(D142="GK",J142*Scoring_Constants!$B$20,0))</f>
        <v/>
      </c>
    </row>
    <row r="143">
      <c r="K143">
        <f>IF(A143="","",F143*Scoring_Constants!$B$16+G143*Scoring_Constants!$B$17+H143*Scoring_Constants!$B$18+IF(OR(D143="GK",D143="CB"),I143*Scoring_Constants!$B$19,0)+IF(D143="GK",J143*Scoring_Constants!$B$20,0))</f>
        <v/>
      </c>
    </row>
    <row r="144">
      <c r="K144">
        <f>IF(A144="","",F144*Scoring_Constants!$B$16+G144*Scoring_Constants!$B$17+H144*Scoring_Constants!$B$18+IF(OR(D144="GK",D144="CB"),I144*Scoring_Constants!$B$19,0)+IF(D144="GK",J144*Scoring_Constants!$B$20,0))</f>
        <v/>
      </c>
    </row>
    <row r="145">
      <c r="K145">
        <f>IF(A145="","",F145*Scoring_Constants!$B$16+G145*Scoring_Constants!$B$17+H145*Scoring_Constants!$B$18+IF(OR(D145="GK",D145="CB"),I145*Scoring_Constants!$B$19,0)+IF(D145="GK",J145*Scoring_Constants!$B$20,0))</f>
        <v/>
      </c>
    </row>
    <row r="146">
      <c r="K146">
        <f>IF(A146="","",F146*Scoring_Constants!$B$16+G146*Scoring_Constants!$B$17+H146*Scoring_Constants!$B$18+IF(OR(D146="GK",D146="CB"),I146*Scoring_Constants!$B$19,0)+IF(D146="GK",J146*Scoring_Constants!$B$20,0))</f>
        <v/>
      </c>
    </row>
    <row r="147">
      <c r="K147">
        <f>IF(A147="","",F147*Scoring_Constants!$B$16+G147*Scoring_Constants!$B$17+H147*Scoring_Constants!$B$18+IF(OR(D147="GK",D147="CB"),I147*Scoring_Constants!$B$19,0)+IF(D147="GK",J147*Scoring_Constants!$B$20,0))</f>
        <v/>
      </c>
    </row>
    <row r="148">
      <c r="K148">
        <f>IF(A148="","",F148*Scoring_Constants!$B$16+G148*Scoring_Constants!$B$17+H148*Scoring_Constants!$B$18+IF(OR(D148="GK",D148="CB"),I148*Scoring_Constants!$B$19,0)+IF(D148="GK",J148*Scoring_Constants!$B$20,0))</f>
        <v/>
      </c>
    </row>
    <row r="149">
      <c r="K149">
        <f>IF(A149="","",F149*Scoring_Constants!$B$16+G149*Scoring_Constants!$B$17+H149*Scoring_Constants!$B$18+IF(OR(D149="GK",D149="CB"),I149*Scoring_Constants!$B$19,0)+IF(D149="GK",J149*Scoring_Constants!$B$20,0))</f>
        <v/>
      </c>
    </row>
    <row r="150">
      <c r="K150">
        <f>IF(A150="","",F150*Scoring_Constants!$B$16+G150*Scoring_Constants!$B$17+H150*Scoring_Constants!$B$18+IF(OR(D150="GK",D150="CB"),I150*Scoring_Constants!$B$19,0)+IF(D150="GK",J150*Scoring_Constants!$B$20,0))</f>
        <v/>
      </c>
    </row>
    <row r="151">
      <c r="K151">
        <f>IF(A151="","",F151*Scoring_Constants!$B$16+G151*Scoring_Constants!$B$17+H151*Scoring_Constants!$B$18+IF(OR(D151="GK",D151="CB"),I151*Scoring_Constants!$B$19,0)+IF(D151="GK",J151*Scoring_Constants!$B$20,0))</f>
        <v/>
      </c>
    </row>
    <row r="152">
      <c r="K152">
        <f>IF(A152="","",F152*Scoring_Constants!$B$16+G152*Scoring_Constants!$B$17+H152*Scoring_Constants!$B$18+IF(OR(D152="GK",D152="CB"),I152*Scoring_Constants!$B$19,0)+IF(D152="GK",J152*Scoring_Constants!$B$20,0))</f>
        <v/>
      </c>
    </row>
    <row r="153">
      <c r="K153">
        <f>IF(A153="","",F153*Scoring_Constants!$B$16+G153*Scoring_Constants!$B$17+H153*Scoring_Constants!$B$18+IF(OR(D153="GK",D153="CB"),I153*Scoring_Constants!$B$19,0)+IF(D153="GK",J153*Scoring_Constants!$B$20,0))</f>
        <v/>
      </c>
    </row>
    <row r="154">
      <c r="K154">
        <f>IF(A154="","",F154*Scoring_Constants!$B$16+G154*Scoring_Constants!$B$17+H154*Scoring_Constants!$B$18+IF(OR(D154="GK",D154="CB"),I154*Scoring_Constants!$B$19,0)+IF(D154="GK",J154*Scoring_Constants!$B$20,0))</f>
        <v/>
      </c>
    </row>
    <row r="155">
      <c r="K155">
        <f>IF(A155="","",F155*Scoring_Constants!$B$16+G155*Scoring_Constants!$B$17+H155*Scoring_Constants!$B$18+IF(OR(D155="GK",D155="CB"),I155*Scoring_Constants!$B$19,0)+IF(D155="GK",J155*Scoring_Constants!$B$20,0))</f>
        <v/>
      </c>
    </row>
    <row r="156">
      <c r="K156">
        <f>IF(A156="","",F156*Scoring_Constants!$B$16+G156*Scoring_Constants!$B$17+H156*Scoring_Constants!$B$18+IF(OR(D156="GK",D156="CB"),I156*Scoring_Constants!$B$19,0)+IF(D156="GK",J156*Scoring_Constants!$B$20,0))</f>
        <v/>
      </c>
    </row>
    <row r="157">
      <c r="K157">
        <f>IF(A157="","",F157*Scoring_Constants!$B$16+G157*Scoring_Constants!$B$17+H157*Scoring_Constants!$B$18+IF(OR(D157="GK",D157="CB"),I157*Scoring_Constants!$B$19,0)+IF(D157="GK",J157*Scoring_Constants!$B$20,0))</f>
        <v/>
      </c>
    </row>
    <row r="158">
      <c r="K158">
        <f>IF(A158="","",F158*Scoring_Constants!$B$16+G158*Scoring_Constants!$B$17+H158*Scoring_Constants!$B$18+IF(OR(D158="GK",D158="CB"),I158*Scoring_Constants!$B$19,0)+IF(D158="GK",J158*Scoring_Constants!$B$20,0))</f>
        <v/>
      </c>
    </row>
    <row r="159">
      <c r="K159">
        <f>IF(A159="","",F159*Scoring_Constants!$B$16+G159*Scoring_Constants!$B$17+H159*Scoring_Constants!$B$18+IF(OR(D159="GK",D159="CB"),I159*Scoring_Constants!$B$19,0)+IF(D159="GK",J159*Scoring_Constants!$B$20,0))</f>
        <v/>
      </c>
    </row>
    <row r="160">
      <c r="K160">
        <f>IF(A160="","",F160*Scoring_Constants!$B$16+G160*Scoring_Constants!$B$17+H160*Scoring_Constants!$B$18+IF(OR(D160="GK",D160="CB"),I160*Scoring_Constants!$B$19,0)+IF(D160="GK",J160*Scoring_Constants!$B$20,0))</f>
        <v/>
      </c>
    </row>
    <row r="161">
      <c r="K161">
        <f>IF(A161="","",F161*Scoring_Constants!$B$16+G161*Scoring_Constants!$B$17+H161*Scoring_Constants!$B$18+IF(OR(D161="GK",D161="CB"),I161*Scoring_Constants!$B$19,0)+IF(D161="GK",J161*Scoring_Constants!$B$20,0))</f>
        <v/>
      </c>
    </row>
    <row r="162">
      <c r="K162">
        <f>IF(A162="","",F162*Scoring_Constants!$B$16+G162*Scoring_Constants!$B$17+H162*Scoring_Constants!$B$18+IF(OR(D162="GK",D162="CB"),I162*Scoring_Constants!$B$19,0)+IF(D162="GK",J162*Scoring_Constants!$B$20,0))</f>
        <v/>
      </c>
    </row>
    <row r="163">
      <c r="K163">
        <f>IF(A163="","",F163*Scoring_Constants!$B$16+G163*Scoring_Constants!$B$17+H163*Scoring_Constants!$B$18+IF(OR(D163="GK",D163="CB"),I163*Scoring_Constants!$B$19,0)+IF(D163="GK",J163*Scoring_Constants!$B$20,0))</f>
        <v/>
      </c>
    </row>
    <row r="164">
      <c r="K164">
        <f>IF(A164="","",F164*Scoring_Constants!$B$16+G164*Scoring_Constants!$B$17+H164*Scoring_Constants!$B$18+IF(OR(D164="GK",D164="CB"),I164*Scoring_Constants!$B$19,0)+IF(D164="GK",J164*Scoring_Constants!$B$20,0))</f>
        <v/>
      </c>
    </row>
    <row r="165">
      <c r="K165">
        <f>IF(A165="","",F165*Scoring_Constants!$B$16+G165*Scoring_Constants!$B$17+H165*Scoring_Constants!$B$18+IF(OR(D165="GK",D165="CB"),I165*Scoring_Constants!$B$19,0)+IF(D165="GK",J165*Scoring_Constants!$B$20,0))</f>
        <v/>
      </c>
    </row>
    <row r="166">
      <c r="K166">
        <f>IF(A166="","",F166*Scoring_Constants!$B$16+G166*Scoring_Constants!$B$17+H166*Scoring_Constants!$B$18+IF(OR(D166="GK",D166="CB"),I166*Scoring_Constants!$B$19,0)+IF(D166="GK",J166*Scoring_Constants!$B$20,0))</f>
        <v/>
      </c>
    </row>
    <row r="167">
      <c r="K167">
        <f>IF(A167="","",F167*Scoring_Constants!$B$16+G167*Scoring_Constants!$B$17+H167*Scoring_Constants!$B$18+IF(OR(D167="GK",D167="CB"),I167*Scoring_Constants!$B$19,0)+IF(D167="GK",J167*Scoring_Constants!$B$20,0))</f>
        <v/>
      </c>
    </row>
    <row r="168">
      <c r="K168">
        <f>IF(A168="","",F168*Scoring_Constants!$B$16+G168*Scoring_Constants!$B$17+H168*Scoring_Constants!$B$18+IF(OR(D168="GK",D168="CB"),I168*Scoring_Constants!$B$19,0)+IF(D168="GK",J168*Scoring_Constants!$B$20,0))</f>
        <v/>
      </c>
    </row>
    <row r="169">
      <c r="K169">
        <f>IF(A169="","",F169*Scoring_Constants!$B$16+G169*Scoring_Constants!$B$17+H169*Scoring_Constants!$B$18+IF(OR(D169="GK",D169="CB"),I169*Scoring_Constants!$B$19,0)+IF(D169="GK",J169*Scoring_Constants!$B$20,0))</f>
        <v/>
      </c>
    </row>
    <row r="170">
      <c r="K170">
        <f>IF(A170="","",F170*Scoring_Constants!$B$16+G170*Scoring_Constants!$B$17+H170*Scoring_Constants!$B$18+IF(OR(D170="GK",D170="CB"),I170*Scoring_Constants!$B$19,0)+IF(D170="GK",J170*Scoring_Constants!$B$20,0))</f>
        <v/>
      </c>
    </row>
    <row r="171">
      <c r="K171">
        <f>IF(A171="","",F171*Scoring_Constants!$B$16+G171*Scoring_Constants!$B$17+H171*Scoring_Constants!$B$18+IF(OR(D171="GK",D171="CB"),I171*Scoring_Constants!$B$19,0)+IF(D171="GK",J171*Scoring_Constants!$B$20,0))</f>
        <v/>
      </c>
    </row>
    <row r="172">
      <c r="K172">
        <f>IF(A172="","",F172*Scoring_Constants!$B$16+G172*Scoring_Constants!$B$17+H172*Scoring_Constants!$B$18+IF(OR(D172="GK",D172="CB"),I172*Scoring_Constants!$B$19,0)+IF(D172="GK",J172*Scoring_Constants!$B$20,0))</f>
        <v/>
      </c>
    </row>
    <row r="173">
      <c r="K173">
        <f>IF(A173="","",F173*Scoring_Constants!$B$16+G173*Scoring_Constants!$B$17+H173*Scoring_Constants!$B$18+IF(OR(D173="GK",D173="CB"),I173*Scoring_Constants!$B$19,0)+IF(D173="GK",J173*Scoring_Constants!$B$20,0))</f>
        <v/>
      </c>
    </row>
    <row r="174">
      <c r="K174">
        <f>IF(A174="","",F174*Scoring_Constants!$B$16+G174*Scoring_Constants!$B$17+H174*Scoring_Constants!$B$18+IF(OR(D174="GK",D174="CB"),I174*Scoring_Constants!$B$19,0)+IF(D174="GK",J174*Scoring_Constants!$B$20,0))</f>
        <v/>
      </c>
    </row>
    <row r="175">
      <c r="K175">
        <f>IF(A175="","",F175*Scoring_Constants!$B$16+G175*Scoring_Constants!$B$17+H175*Scoring_Constants!$B$18+IF(OR(D175="GK",D175="CB"),I175*Scoring_Constants!$B$19,0)+IF(D175="GK",J175*Scoring_Constants!$B$20,0))</f>
        <v/>
      </c>
    </row>
    <row r="176">
      <c r="K176">
        <f>IF(A176="","",F176*Scoring_Constants!$B$16+G176*Scoring_Constants!$B$17+H176*Scoring_Constants!$B$18+IF(OR(D176="GK",D176="CB"),I176*Scoring_Constants!$B$19,0)+IF(D176="GK",J176*Scoring_Constants!$B$20,0))</f>
        <v/>
      </c>
    </row>
    <row r="177">
      <c r="K177">
        <f>IF(A177="","",F177*Scoring_Constants!$B$16+G177*Scoring_Constants!$B$17+H177*Scoring_Constants!$B$18+IF(OR(D177="GK",D177="CB"),I177*Scoring_Constants!$B$19,0)+IF(D177="GK",J177*Scoring_Constants!$B$20,0))</f>
        <v/>
      </c>
    </row>
    <row r="178">
      <c r="K178">
        <f>IF(A178="","",F178*Scoring_Constants!$B$16+G178*Scoring_Constants!$B$17+H178*Scoring_Constants!$B$18+IF(OR(D178="GK",D178="CB"),I178*Scoring_Constants!$B$19,0)+IF(D178="GK",J178*Scoring_Constants!$B$20,0))</f>
        <v/>
      </c>
    </row>
    <row r="179">
      <c r="K179">
        <f>IF(A179="","",F179*Scoring_Constants!$B$16+G179*Scoring_Constants!$B$17+H179*Scoring_Constants!$B$18+IF(OR(D179="GK",D179="CB"),I179*Scoring_Constants!$B$19,0)+IF(D179="GK",J179*Scoring_Constants!$B$20,0))</f>
        <v/>
      </c>
    </row>
    <row r="180">
      <c r="K180">
        <f>IF(A180="","",F180*Scoring_Constants!$B$16+G180*Scoring_Constants!$B$17+H180*Scoring_Constants!$B$18+IF(OR(D180="GK",D180="CB"),I180*Scoring_Constants!$B$19,0)+IF(D180="GK",J180*Scoring_Constants!$B$20,0))</f>
        <v/>
      </c>
    </row>
    <row r="181">
      <c r="K181">
        <f>IF(A181="","",F181*Scoring_Constants!$B$16+G181*Scoring_Constants!$B$17+H181*Scoring_Constants!$B$18+IF(OR(D181="GK",D181="CB"),I181*Scoring_Constants!$B$19,0)+IF(D181="GK",J181*Scoring_Constants!$B$20,0))</f>
        <v/>
      </c>
    </row>
    <row r="182">
      <c r="K182">
        <f>IF(A182="","",F182*Scoring_Constants!$B$16+G182*Scoring_Constants!$B$17+H182*Scoring_Constants!$B$18+IF(OR(D182="GK",D182="CB"),I182*Scoring_Constants!$B$19,0)+IF(D182="GK",J182*Scoring_Constants!$B$20,0))</f>
        <v/>
      </c>
    </row>
    <row r="183">
      <c r="K183">
        <f>IF(A183="","",F183*Scoring_Constants!$B$16+G183*Scoring_Constants!$B$17+H183*Scoring_Constants!$B$18+IF(OR(D183="GK",D183="CB"),I183*Scoring_Constants!$B$19,0)+IF(D183="GK",J183*Scoring_Constants!$B$20,0))</f>
        <v/>
      </c>
    </row>
    <row r="184">
      <c r="K184">
        <f>IF(A184="","",F184*Scoring_Constants!$B$16+G184*Scoring_Constants!$B$17+H184*Scoring_Constants!$B$18+IF(OR(D184="GK",D184="CB"),I184*Scoring_Constants!$B$19,0)+IF(D184="GK",J184*Scoring_Constants!$B$20,0))</f>
        <v/>
      </c>
    </row>
    <row r="185">
      <c r="K185">
        <f>IF(A185="","",F185*Scoring_Constants!$B$16+G185*Scoring_Constants!$B$17+H185*Scoring_Constants!$B$18+IF(OR(D185="GK",D185="CB"),I185*Scoring_Constants!$B$19,0)+IF(D185="GK",J185*Scoring_Constants!$B$20,0))</f>
        <v/>
      </c>
    </row>
    <row r="186">
      <c r="K186">
        <f>IF(A186="","",F186*Scoring_Constants!$B$16+G186*Scoring_Constants!$B$17+H186*Scoring_Constants!$B$18+IF(OR(D186="GK",D186="CB"),I186*Scoring_Constants!$B$19,0)+IF(D186="GK",J186*Scoring_Constants!$B$20,0))</f>
        <v/>
      </c>
    </row>
    <row r="187">
      <c r="K187">
        <f>IF(A187="","",F187*Scoring_Constants!$B$16+G187*Scoring_Constants!$B$17+H187*Scoring_Constants!$B$18+IF(OR(D187="GK",D187="CB"),I187*Scoring_Constants!$B$19,0)+IF(D187="GK",J187*Scoring_Constants!$B$20,0))</f>
        <v/>
      </c>
    </row>
    <row r="188">
      <c r="K188">
        <f>IF(A188="","",F188*Scoring_Constants!$B$16+G188*Scoring_Constants!$B$17+H188*Scoring_Constants!$B$18+IF(OR(D188="GK",D188="CB"),I188*Scoring_Constants!$B$19,0)+IF(D188="GK",J188*Scoring_Constants!$B$20,0))</f>
        <v/>
      </c>
    </row>
    <row r="189">
      <c r="K189">
        <f>IF(A189="","",F189*Scoring_Constants!$B$16+G189*Scoring_Constants!$B$17+H189*Scoring_Constants!$B$18+IF(OR(D189="GK",D189="CB"),I189*Scoring_Constants!$B$19,0)+IF(D189="GK",J189*Scoring_Constants!$B$20,0))</f>
        <v/>
      </c>
    </row>
    <row r="190">
      <c r="K190">
        <f>IF(A190="","",F190*Scoring_Constants!$B$16+G190*Scoring_Constants!$B$17+H190*Scoring_Constants!$B$18+IF(OR(D190="GK",D190="CB"),I190*Scoring_Constants!$B$19,0)+IF(D190="GK",J190*Scoring_Constants!$B$20,0))</f>
        <v/>
      </c>
    </row>
    <row r="191">
      <c r="K191">
        <f>IF(A191="","",F191*Scoring_Constants!$B$16+G191*Scoring_Constants!$B$17+H191*Scoring_Constants!$B$18+IF(OR(D191="GK",D191="CB"),I191*Scoring_Constants!$B$19,0)+IF(D191="GK",J191*Scoring_Constants!$B$20,0))</f>
        <v/>
      </c>
    </row>
    <row r="192">
      <c r="K192">
        <f>IF(A192="","",F192*Scoring_Constants!$B$16+G192*Scoring_Constants!$B$17+H192*Scoring_Constants!$B$18+IF(OR(D192="GK",D192="CB"),I192*Scoring_Constants!$B$19,0)+IF(D192="GK",J192*Scoring_Constants!$B$20,0))</f>
        <v/>
      </c>
    </row>
    <row r="193">
      <c r="K193">
        <f>IF(A193="","",F193*Scoring_Constants!$B$16+G193*Scoring_Constants!$B$17+H193*Scoring_Constants!$B$18+IF(OR(D193="GK",D193="CB"),I193*Scoring_Constants!$B$19,0)+IF(D193="GK",J193*Scoring_Constants!$B$20,0))</f>
        <v/>
      </c>
    </row>
    <row r="194">
      <c r="K194">
        <f>IF(A194="","",F194*Scoring_Constants!$B$16+G194*Scoring_Constants!$B$17+H194*Scoring_Constants!$B$18+IF(OR(D194="GK",D194="CB"),I194*Scoring_Constants!$B$19,0)+IF(D194="GK",J194*Scoring_Constants!$B$20,0))</f>
        <v/>
      </c>
    </row>
    <row r="195">
      <c r="K195">
        <f>IF(A195="","",F195*Scoring_Constants!$B$16+G195*Scoring_Constants!$B$17+H195*Scoring_Constants!$B$18+IF(OR(D195="GK",D195="CB"),I195*Scoring_Constants!$B$19,0)+IF(D195="GK",J195*Scoring_Constants!$B$20,0))</f>
        <v/>
      </c>
    </row>
    <row r="196">
      <c r="K196">
        <f>IF(A196="","",F196*Scoring_Constants!$B$16+G196*Scoring_Constants!$B$17+H196*Scoring_Constants!$B$18+IF(OR(D196="GK",D196="CB"),I196*Scoring_Constants!$B$19,0)+IF(D196="GK",J196*Scoring_Constants!$B$20,0))</f>
        <v/>
      </c>
    </row>
    <row r="197">
      <c r="K197">
        <f>IF(A197="","",F197*Scoring_Constants!$B$16+G197*Scoring_Constants!$B$17+H197*Scoring_Constants!$B$18+IF(OR(D197="GK",D197="CB"),I197*Scoring_Constants!$B$19,0)+IF(D197="GK",J197*Scoring_Constants!$B$20,0))</f>
        <v/>
      </c>
    </row>
    <row r="198">
      <c r="K198">
        <f>IF(A198="","",F198*Scoring_Constants!$B$16+G198*Scoring_Constants!$B$17+H198*Scoring_Constants!$B$18+IF(OR(D198="GK",D198="CB"),I198*Scoring_Constants!$B$19,0)+IF(D198="GK",J198*Scoring_Constants!$B$20,0))</f>
        <v/>
      </c>
    </row>
    <row r="199">
      <c r="K199">
        <f>IF(A199="","",F199*Scoring_Constants!$B$16+G199*Scoring_Constants!$B$17+H199*Scoring_Constants!$B$18+IF(OR(D199="GK",D199="CB"),I199*Scoring_Constants!$B$19,0)+IF(D199="GK",J199*Scoring_Constants!$B$20,0))</f>
        <v/>
      </c>
    </row>
    <row r="200">
      <c r="K200">
        <f>IF(A200="","",F200*Scoring_Constants!$B$16+G200*Scoring_Constants!$B$17+H200*Scoring_Constants!$B$18+IF(OR(D200="GK",D200="CB"),I200*Scoring_Constants!$B$19,0)+IF(D200="GK",J200*Scoring_Constants!$B$20,0))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7" customWidth="1" min="3" max="3"/>
    <col width="6" customWidth="1" min="4" max="4"/>
    <col width="12" customWidth="1" min="5" max="5"/>
    <col width="10" customWidth="1" min="6" max="6"/>
    <col width="50" customWidth="1" min="7" max="7"/>
    <col width="50" customWidth="1" min="8" max="8"/>
    <col width="50" customWidth="1" min="9" max="9"/>
    <col width="50" customWidth="1" min="10" max="10"/>
    <col width="7" customWidth="1" min="11" max="11"/>
    <col width="12" customWidth="1" min="12" max="12"/>
    <col width="50" customWidth="1" min="13" max="13"/>
  </cols>
  <sheetData>
    <row r="1">
      <c r="A1" s="1" t="inlineStr">
        <is>
          <t>Manager_ID</t>
        </is>
      </c>
      <c r="B1" s="1" t="inlineStr">
        <is>
          <t>Manager_Name</t>
        </is>
      </c>
      <c r="C1" s="1" t="inlineStr">
        <is>
          <t>Round</t>
        </is>
      </c>
      <c r="D1" s="1" t="inlineStr">
        <is>
          <t>Pick</t>
        </is>
      </c>
      <c r="E1" s="1" t="inlineStr">
        <is>
          <t>Asset_Type</t>
        </is>
      </c>
      <c r="F1" s="1" t="inlineStr">
        <is>
          <t>Asset_ID</t>
        </is>
      </c>
      <c r="G1" s="1" t="inlineStr">
        <is>
          <t>Asset_Name</t>
        </is>
      </c>
      <c r="H1" s="1" t="inlineStr">
        <is>
          <t>Team_Name</t>
        </is>
      </c>
      <c r="I1" s="1" t="inlineStr">
        <is>
          <t>Asset_Points</t>
        </is>
      </c>
      <c r="J1" s="1" t="inlineStr">
        <is>
          <t>Duplicate_Check</t>
        </is>
      </c>
      <c r="K1" s="1" t="inlineStr">
        <is>
          <t>Notes</t>
        </is>
      </c>
      <c r="M1" s="3" t="inlineStr">
        <is>
          <t>Round 1-4 = Teams, Round 5-8 = Players. Snake order: commissioner enters Manager_ID in column A per round. Duplicate_Check flags if same Asset_ID appears twice.</t>
        </is>
      </c>
    </row>
    <row r="2">
      <c r="B2">
        <f>IFERROR(INDEX(Managers!$B:$B,MATCH(A2,Managers!$A:$A,0)),"")</f>
        <v/>
      </c>
      <c r="C2" t="n">
        <v>1</v>
      </c>
      <c r="D2" t="n">
        <v>1</v>
      </c>
      <c r="E2" t="inlineStr">
        <is>
          <t>Team</t>
        </is>
      </c>
      <c r="G2">
        <f>IF($F2="","",IF($E2="Team",IFERROR(INDEX(DE_Teams!$B:$B,MATCH($F2,DE_Teams!$A:$A,0)),""),IFERROR(INDEX(DE_Players!$B:$B,MATCH($F2,DE_Players!$A:$A,0)),"")))</f>
        <v/>
      </c>
      <c r="H2">
        <f>IF($F2="","",IF($E2="Player",IFERROR(INDEX(DE_Players!$C:$C,MATCH($F2,DE_Players!$A:$A,0)),""),""))</f>
        <v/>
      </c>
      <c r="I2">
        <f>IF($F2="","",IF($E2="Team",IFERROR(INDEX(DE_Teams!$H:$H,MATCH($F2,DE_Teams!$A:$A,0)),0),IFERROR(INDEX(DE_Players!$K:$K,MATCH($F2,DE_Players!$A:$A,0)),0)))</f>
        <v/>
      </c>
      <c r="J2">
        <f>IF($F2="","",IF(COUNTIF($F$2:$F$200,$F2)&gt;1,"DUPLICATE",""))</f>
        <v/>
      </c>
    </row>
    <row r="3">
      <c r="B3">
        <f>IFERROR(INDEX(Managers!$B:$B,MATCH(A3,Managers!$A:$A,0)),"")</f>
        <v/>
      </c>
      <c r="C3" t="n">
        <v>1</v>
      </c>
      <c r="D3" t="n">
        <v>2</v>
      </c>
      <c r="E3" t="inlineStr">
        <is>
          <t>Team</t>
        </is>
      </c>
      <c r="G3">
        <f>IF($F3="","",IF($E3="Team",IFERROR(INDEX(DE_Teams!$B:$B,MATCH($F3,DE_Teams!$A:$A,0)),""),IFERROR(INDEX(DE_Players!$B:$B,MATCH($F3,DE_Players!$A:$A,0)),"")))</f>
        <v/>
      </c>
      <c r="H3">
        <f>IF($F3="","",IF($E3="Player",IFERROR(INDEX(DE_Players!$C:$C,MATCH($F3,DE_Players!$A:$A,0)),""),""))</f>
        <v/>
      </c>
      <c r="I3">
        <f>IF($F3="","",IF($E3="Team",IFERROR(INDEX(DE_Teams!$H:$H,MATCH($F3,DE_Teams!$A:$A,0)),0),IFERROR(INDEX(DE_Players!$K:$K,MATCH($F3,DE_Players!$A:$A,0)),0)))</f>
        <v/>
      </c>
      <c r="J3">
        <f>IF($F3="","",IF(COUNTIF($F$2:$F$200,$F3)&gt;1,"DUPLICATE",""))</f>
        <v/>
      </c>
    </row>
    <row r="4">
      <c r="B4">
        <f>IFERROR(INDEX(Managers!$B:$B,MATCH(A4,Managers!$A:$A,0)),"")</f>
        <v/>
      </c>
      <c r="C4" t="n">
        <v>1</v>
      </c>
      <c r="D4" t="n">
        <v>3</v>
      </c>
      <c r="E4" t="inlineStr">
        <is>
          <t>Team</t>
        </is>
      </c>
      <c r="G4">
        <f>IF($F4="","",IF($E4="Team",IFERROR(INDEX(DE_Teams!$B:$B,MATCH($F4,DE_Teams!$A:$A,0)),""),IFERROR(INDEX(DE_Players!$B:$B,MATCH($F4,DE_Players!$A:$A,0)),"")))</f>
        <v/>
      </c>
      <c r="H4">
        <f>IF($F4="","",IF($E4="Player",IFERROR(INDEX(DE_Players!$C:$C,MATCH($F4,DE_Players!$A:$A,0)),""),""))</f>
        <v/>
      </c>
      <c r="I4">
        <f>IF($F4="","",IF($E4="Team",IFERROR(INDEX(DE_Teams!$H:$H,MATCH($F4,DE_Teams!$A:$A,0)),0),IFERROR(INDEX(DE_Players!$K:$K,MATCH($F4,DE_Players!$A:$A,0)),0)))</f>
        <v/>
      </c>
      <c r="J4">
        <f>IF($F4="","",IF(COUNTIF($F$2:$F$200,$F4)&gt;1,"DUPLICATE",""))</f>
        <v/>
      </c>
    </row>
    <row r="5">
      <c r="B5">
        <f>IFERROR(INDEX(Managers!$B:$B,MATCH(A5,Managers!$A:$A,0)),"")</f>
        <v/>
      </c>
      <c r="C5" t="n">
        <v>1</v>
      </c>
      <c r="D5" t="n">
        <v>4</v>
      </c>
      <c r="E5" t="inlineStr">
        <is>
          <t>Team</t>
        </is>
      </c>
      <c r="G5">
        <f>IF($F5="","",IF($E5="Team",IFERROR(INDEX(DE_Teams!$B:$B,MATCH($F5,DE_Teams!$A:$A,0)),""),IFERROR(INDEX(DE_Players!$B:$B,MATCH($F5,DE_Players!$A:$A,0)),"")))</f>
        <v/>
      </c>
      <c r="H5">
        <f>IF($F5="","",IF($E5="Player",IFERROR(INDEX(DE_Players!$C:$C,MATCH($F5,DE_Players!$A:$A,0)),""),""))</f>
        <v/>
      </c>
      <c r="I5">
        <f>IF($F5="","",IF($E5="Team",IFERROR(INDEX(DE_Teams!$H:$H,MATCH($F5,DE_Teams!$A:$A,0)),0),IFERROR(INDEX(DE_Players!$K:$K,MATCH($F5,DE_Players!$A:$A,0)),0)))</f>
        <v/>
      </c>
      <c r="J5">
        <f>IF($F5="","",IF(COUNTIF($F$2:$F$200,$F5)&gt;1,"DUPLICATE",""))</f>
        <v/>
      </c>
    </row>
    <row r="6">
      <c r="B6">
        <f>IFERROR(INDEX(Managers!$B:$B,MATCH(A6,Managers!$A:$A,0)),"")</f>
        <v/>
      </c>
      <c r="C6" t="n">
        <v>1</v>
      </c>
      <c r="D6" t="n">
        <v>5</v>
      </c>
      <c r="E6" t="inlineStr">
        <is>
          <t>Team</t>
        </is>
      </c>
      <c r="G6">
        <f>IF($F6="","",IF($E6="Team",IFERROR(INDEX(DE_Teams!$B:$B,MATCH($F6,DE_Teams!$A:$A,0)),""),IFERROR(INDEX(DE_Players!$B:$B,MATCH($F6,DE_Players!$A:$A,0)),"")))</f>
        <v/>
      </c>
      <c r="H6">
        <f>IF($F6="","",IF($E6="Player",IFERROR(INDEX(DE_Players!$C:$C,MATCH($F6,DE_Players!$A:$A,0)),""),""))</f>
        <v/>
      </c>
      <c r="I6">
        <f>IF($F6="","",IF($E6="Team",IFERROR(INDEX(DE_Teams!$H:$H,MATCH($F6,DE_Teams!$A:$A,0)),0),IFERROR(INDEX(DE_Players!$K:$K,MATCH($F6,DE_Players!$A:$A,0)),0)))</f>
        <v/>
      </c>
      <c r="J6">
        <f>IF($F6="","",IF(COUNTIF($F$2:$F$200,$F6)&gt;1,"DUPLICATE",""))</f>
        <v/>
      </c>
    </row>
    <row r="7">
      <c r="B7">
        <f>IFERROR(INDEX(Managers!$B:$B,MATCH(A7,Managers!$A:$A,0)),"")</f>
        <v/>
      </c>
      <c r="C7" t="n">
        <v>1</v>
      </c>
      <c r="D7" t="n">
        <v>6</v>
      </c>
      <c r="E7" t="inlineStr">
        <is>
          <t>Team</t>
        </is>
      </c>
      <c r="G7">
        <f>IF($F7="","",IF($E7="Team",IFERROR(INDEX(DE_Teams!$B:$B,MATCH($F7,DE_Teams!$A:$A,0)),""),IFERROR(INDEX(DE_Players!$B:$B,MATCH($F7,DE_Players!$A:$A,0)),"")))</f>
        <v/>
      </c>
      <c r="H7">
        <f>IF($F7="","",IF($E7="Player",IFERROR(INDEX(DE_Players!$C:$C,MATCH($F7,DE_Players!$A:$A,0)),""),""))</f>
        <v/>
      </c>
      <c r="I7">
        <f>IF($F7="","",IF($E7="Team",IFERROR(INDEX(DE_Teams!$H:$H,MATCH($F7,DE_Teams!$A:$A,0)),0),IFERROR(INDEX(DE_Players!$K:$K,MATCH($F7,DE_Players!$A:$A,0)),0)))</f>
        <v/>
      </c>
      <c r="J7">
        <f>IF($F7="","",IF(COUNTIF($F$2:$F$200,$F7)&gt;1,"DUPLICATE",""))</f>
        <v/>
      </c>
    </row>
    <row r="8">
      <c r="B8">
        <f>IFERROR(INDEX(Managers!$B:$B,MATCH(A8,Managers!$A:$A,0)),"")</f>
        <v/>
      </c>
      <c r="C8" t="n">
        <v>2</v>
      </c>
      <c r="D8" t="n">
        <v>1</v>
      </c>
      <c r="E8" t="inlineStr">
        <is>
          <t>Team</t>
        </is>
      </c>
      <c r="G8">
        <f>IF($F8="","",IF($E8="Team",IFERROR(INDEX(DE_Teams!$B:$B,MATCH($F8,DE_Teams!$A:$A,0)),""),IFERROR(INDEX(DE_Players!$B:$B,MATCH($F8,DE_Players!$A:$A,0)),"")))</f>
        <v/>
      </c>
      <c r="H8">
        <f>IF($F8="","",IF($E8="Player",IFERROR(INDEX(DE_Players!$C:$C,MATCH($F8,DE_Players!$A:$A,0)),""),""))</f>
        <v/>
      </c>
      <c r="I8">
        <f>IF($F8="","",IF($E8="Team",IFERROR(INDEX(DE_Teams!$H:$H,MATCH($F8,DE_Teams!$A:$A,0)),0),IFERROR(INDEX(DE_Players!$K:$K,MATCH($F8,DE_Players!$A:$A,0)),0)))</f>
        <v/>
      </c>
      <c r="J8">
        <f>IF($F8="","",IF(COUNTIF($F$2:$F$200,$F8)&gt;1,"DUPLICATE",""))</f>
        <v/>
      </c>
    </row>
    <row r="9">
      <c r="B9">
        <f>IFERROR(INDEX(Managers!$B:$B,MATCH(A9,Managers!$A:$A,0)),"")</f>
        <v/>
      </c>
      <c r="C9" t="n">
        <v>2</v>
      </c>
      <c r="D9" t="n">
        <v>2</v>
      </c>
      <c r="E9" t="inlineStr">
        <is>
          <t>Team</t>
        </is>
      </c>
      <c r="G9">
        <f>IF($F9="","",IF($E9="Team",IFERROR(INDEX(DE_Teams!$B:$B,MATCH($F9,DE_Teams!$A:$A,0)),""),IFERROR(INDEX(DE_Players!$B:$B,MATCH($F9,DE_Players!$A:$A,0)),"")))</f>
        <v/>
      </c>
      <c r="H9">
        <f>IF($F9="","",IF($E9="Player",IFERROR(INDEX(DE_Players!$C:$C,MATCH($F9,DE_Players!$A:$A,0)),""),""))</f>
        <v/>
      </c>
      <c r="I9">
        <f>IF($F9="","",IF($E9="Team",IFERROR(INDEX(DE_Teams!$H:$H,MATCH($F9,DE_Teams!$A:$A,0)),0),IFERROR(INDEX(DE_Players!$K:$K,MATCH($F9,DE_Players!$A:$A,0)),0)))</f>
        <v/>
      </c>
      <c r="J9">
        <f>IF($F9="","",IF(COUNTIF($F$2:$F$200,$F9)&gt;1,"DUPLICATE",""))</f>
        <v/>
      </c>
    </row>
    <row r="10">
      <c r="B10">
        <f>IFERROR(INDEX(Managers!$B:$B,MATCH(A10,Managers!$A:$A,0)),"")</f>
        <v/>
      </c>
      <c r="C10" t="n">
        <v>2</v>
      </c>
      <c r="D10" t="n">
        <v>3</v>
      </c>
      <c r="E10" t="inlineStr">
        <is>
          <t>Team</t>
        </is>
      </c>
      <c r="G10">
        <f>IF($F10="","",IF($E10="Team",IFERROR(INDEX(DE_Teams!$B:$B,MATCH($F10,DE_Teams!$A:$A,0)),""),IFERROR(INDEX(DE_Players!$B:$B,MATCH($F10,DE_Players!$A:$A,0)),"")))</f>
        <v/>
      </c>
      <c r="H10">
        <f>IF($F10="","",IF($E10="Player",IFERROR(INDEX(DE_Players!$C:$C,MATCH($F10,DE_Players!$A:$A,0)),""),""))</f>
        <v/>
      </c>
      <c r="I10">
        <f>IF($F10="","",IF($E10="Team",IFERROR(INDEX(DE_Teams!$H:$H,MATCH($F10,DE_Teams!$A:$A,0)),0),IFERROR(INDEX(DE_Players!$K:$K,MATCH($F10,DE_Players!$A:$A,0)),0)))</f>
        <v/>
      </c>
      <c r="J10">
        <f>IF($F10="","",IF(COUNTIF($F$2:$F$200,$F10)&gt;1,"DUPLICATE",""))</f>
        <v/>
      </c>
    </row>
    <row r="11">
      <c r="B11">
        <f>IFERROR(INDEX(Managers!$B:$B,MATCH(A11,Managers!$A:$A,0)),"")</f>
        <v/>
      </c>
      <c r="C11" t="n">
        <v>2</v>
      </c>
      <c r="D11" t="n">
        <v>4</v>
      </c>
      <c r="E11" t="inlineStr">
        <is>
          <t>Team</t>
        </is>
      </c>
      <c r="G11">
        <f>IF($F11="","",IF($E11="Team",IFERROR(INDEX(DE_Teams!$B:$B,MATCH($F11,DE_Teams!$A:$A,0)),""),IFERROR(INDEX(DE_Players!$B:$B,MATCH($F11,DE_Players!$A:$A,0)),"")))</f>
        <v/>
      </c>
      <c r="H11">
        <f>IF($F11="","",IF($E11="Player",IFERROR(INDEX(DE_Players!$C:$C,MATCH($F11,DE_Players!$A:$A,0)),""),""))</f>
        <v/>
      </c>
      <c r="I11">
        <f>IF($F11="","",IF($E11="Team",IFERROR(INDEX(DE_Teams!$H:$H,MATCH($F11,DE_Teams!$A:$A,0)),0),IFERROR(INDEX(DE_Players!$K:$K,MATCH($F11,DE_Players!$A:$A,0)),0)))</f>
        <v/>
      </c>
      <c r="J11">
        <f>IF($F11="","",IF(COUNTIF($F$2:$F$200,$F11)&gt;1,"DUPLICATE",""))</f>
        <v/>
      </c>
    </row>
    <row r="12">
      <c r="B12">
        <f>IFERROR(INDEX(Managers!$B:$B,MATCH(A12,Managers!$A:$A,0)),"")</f>
        <v/>
      </c>
      <c r="C12" t="n">
        <v>2</v>
      </c>
      <c r="D12" t="n">
        <v>5</v>
      </c>
      <c r="E12" t="inlineStr">
        <is>
          <t>Team</t>
        </is>
      </c>
      <c r="G12">
        <f>IF($F12="","",IF($E12="Team",IFERROR(INDEX(DE_Teams!$B:$B,MATCH($F12,DE_Teams!$A:$A,0)),""),IFERROR(INDEX(DE_Players!$B:$B,MATCH($F12,DE_Players!$A:$A,0)),"")))</f>
        <v/>
      </c>
      <c r="H12">
        <f>IF($F12="","",IF($E12="Player",IFERROR(INDEX(DE_Players!$C:$C,MATCH($F12,DE_Players!$A:$A,0)),""),""))</f>
        <v/>
      </c>
      <c r="I12">
        <f>IF($F12="","",IF($E12="Team",IFERROR(INDEX(DE_Teams!$H:$H,MATCH($F12,DE_Teams!$A:$A,0)),0),IFERROR(INDEX(DE_Players!$K:$K,MATCH($F12,DE_Players!$A:$A,0)),0)))</f>
        <v/>
      </c>
      <c r="J12">
        <f>IF($F12="","",IF(COUNTIF($F$2:$F$200,$F12)&gt;1,"DUPLICATE",""))</f>
        <v/>
      </c>
    </row>
    <row r="13">
      <c r="B13">
        <f>IFERROR(INDEX(Managers!$B:$B,MATCH(A13,Managers!$A:$A,0)),"")</f>
        <v/>
      </c>
      <c r="C13" t="n">
        <v>2</v>
      </c>
      <c r="D13" t="n">
        <v>6</v>
      </c>
      <c r="E13" t="inlineStr">
        <is>
          <t>Team</t>
        </is>
      </c>
      <c r="G13">
        <f>IF($F13="","",IF($E13="Team",IFERROR(INDEX(DE_Teams!$B:$B,MATCH($F13,DE_Teams!$A:$A,0)),""),IFERROR(INDEX(DE_Players!$B:$B,MATCH($F13,DE_Players!$A:$A,0)),"")))</f>
        <v/>
      </c>
      <c r="H13">
        <f>IF($F13="","",IF($E13="Player",IFERROR(INDEX(DE_Players!$C:$C,MATCH($F13,DE_Players!$A:$A,0)),""),""))</f>
        <v/>
      </c>
      <c r="I13">
        <f>IF($F13="","",IF($E13="Team",IFERROR(INDEX(DE_Teams!$H:$H,MATCH($F13,DE_Teams!$A:$A,0)),0),IFERROR(INDEX(DE_Players!$K:$K,MATCH($F13,DE_Players!$A:$A,0)),0)))</f>
        <v/>
      </c>
      <c r="J13">
        <f>IF($F13="","",IF(COUNTIF($F$2:$F$200,$F13)&gt;1,"DUPLICATE",""))</f>
        <v/>
      </c>
    </row>
    <row r="14">
      <c r="B14">
        <f>IFERROR(INDEX(Managers!$B:$B,MATCH(A14,Managers!$A:$A,0)),"")</f>
        <v/>
      </c>
      <c r="C14" t="n">
        <v>3</v>
      </c>
      <c r="D14" t="n">
        <v>1</v>
      </c>
      <c r="E14" t="inlineStr">
        <is>
          <t>Team</t>
        </is>
      </c>
      <c r="G14">
        <f>IF($F14="","",IF($E14="Team",IFERROR(INDEX(DE_Teams!$B:$B,MATCH($F14,DE_Teams!$A:$A,0)),""),IFERROR(INDEX(DE_Players!$B:$B,MATCH($F14,DE_Players!$A:$A,0)),"")))</f>
        <v/>
      </c>
      <c r="H14">
        <f>IF($F14="","",IF($E14="Player",IFERROR(INDEX(DE_Players!$C:$C,MATCH($F14,DE_Players!$A:$A,0)),""),""))</f>
        <v/>
      </c>
      <c r="I14">
        <f>IF($F14="","",IF($E14="Team",IFERROR(INDEX(DE_Teams!$H:$H,MATCH($F14,DE_Teams!$A:$A,0)),0),IFERROR(INDEX(DE_Players!$K:$K,MATCH($F14,DE_Players!$A:$A,0)),0)))</f>
        <v/>
      </c>
      <c r="J14">
        <f>IF($F14="","",IF(COUNTIF($F$2:$F$200,$F14)&gt;1,"DUPLICATE",""))</f>
        <v/>
      </c>
    </row>
    <row r="15">
      <c r="B15">
        <f>IFERROR(INDEX(Managers!$B:$B,MATCH(A15,Managers!$A:$A,0)),"")</f>
        <v/>
      </c>
      <c r="C15" t="n">
        <v>3</v>
      </c>
      <c r="D15" t="n">
        <v>2</v>
      </c>
      <c r="E15" t="inlineStr">
        <is>
          <t>Team</t>
        </is>
      </c>
      <c r="G15">
        <f>IF($F15="","",IF($E15="Team",IFERROR(INDEX(DE_Teams!$B:$B,MATCH($F15,DE_Teams!$A:$A,0)),""),IFERROR(INDEX(DE_Players!$B:$B,MATCH($F15,DE_Players!$A:$A,0)),"")))</f>
        <v/>
      </c>
      <c r="H15">
        <f>IF($F15="","",IF($E15="Player",IFERROR(INDEX(DE_Players!$C:$C,MATCH($F15,DE_Players!$A:$A,0)),""),""))</f>
        <v/>
      </c>
      <c r="I15">
        <f>IF($F15="","",IF($E15="Team",IFERROR(INDEX(DE_Teams!$H:$H,MATCH($F15,DE_Teams!$A:$A,0)),0),IFERROR(INDEX(DE_Players!$K:$K,MATCH($F15,DE_Players!$A:$A,0)),0)))</f>
        <v/>
      </c>
      <c r="J15">
        <f>IF($F15="","",IF(COUNTIF($F$2:$F$200,$F15)&gt;1,"DUPLICATE",""))</f>
        <v/>
      </c>
    </row>
    <row r="16">
      <c r="B16">
        <f>IFERROR(INDEX(Managers!$B:$B,MATCH(A16,Managers!$A:$A,0)),"")</f>
        <v/>
      </c>
      <c r="C16" t="n">
        <v>3</v>
      </c>
      <c r="D16" t="n">
        <v>3</v>
      </c>
      <c r="E16" t="inlineStr">
        <is>
          <t>Team</t>
        </is>
      </c>
      <c r="G16">
        <f>IF($F16="","",IF($E16="Team",IFERROR(INDEX(DE_Teams!$B:$B,MATCH($F16,DE_Teams!$A:$A,0)),""),IFERROR(INDEX(DE_Players!$B:$B,MATCH($F16,DE_Players!$A:$A,0)),"")))</f>
        <v/>
      </c>
      <c r="H16">
        <f>IF($F16="","",IF($E16="Player",IFERROR(INDEX(DE_Players!$C:$C,MATCH($F16,DE_Players!$A:$A,0)),""),""))</f>
        <v/>
      </c>
      <c r="I16">
        <f>IF($F16="","",IF($E16="Team",IFERROR(INDEX(DE_Teams!$H:$H,MATCH($F16,DE_Teams!$A:$A,0)),0),IFERROR(INDEX(DE_Players!$K:$K,MATCH($F16,DE_Players!$A:$A,0)),0)))</f>
        <v/>
      </c>
      <c r="J16">
        <f>IF($F16="","",IF(COUNTIF($F$2:$F$200,$F16)&gt;1,"DUPLICATE",""))</f>
        <v/>
      </c>
    </row>
    <row r="17">
      <c r="B17">
        <f>IFERROR(INDEX(Managers!$B:$B,MATCH(A17,Managers!$A:$A,0)),"")</f>
        <v/>
      </c>
      <c r="C17" t="n">
        <v>3</v>
      </c>
      <c r="D17" t="n">
        <v>4</v>
      </c>
      <c r="E17" t="inlineStr">
        <is>
          <t>Team</t>
        </is>
      </c>
      <c r="G17">
        <f>IF($F17="","",IF($E17="Team",IFERROR(INDEX(DE_Teams!$B:$B,MATCH($F17,DE_Teams!$A:$A,0)),""),IFERROR(INDEX(DE_Players!$B:$B,MATCH($F17,DE_Players!$A:$A,0)),"")))</f>
        <v/>
      </c>
      <c r="H17">
        <f>IF($F17="","",IF($E17="Player",IFERROR(INDEX(DE_Players!$C:$C,MATCH($F17,DE_Players!$A:$A,0)),""),""))</f>
        <v/>
      </c>
      <c r="I17">
        <f>IF($F17="","",IF($E17="Team",IFERROR(INDEX(DE_Teams!$H:$H,MATCH($F17,DE_Teams!$A:$A,0)),0),IFERROR(INDEX(DE_Players!$K:$K,MATCH($F17,DE_Players!$A:$A,0)),0)))</f>
        <v/>
      </c>
      <c r="J17">
        <f>IF($F17="","",IF(COUNTIF($F$2:$F$200,$F17)&gt;1,"DUPLICATE",""))</f>
        <v/>
      </c>
    </row>
    <row r="18">
      <c r="B18">
        <f>IFERROR(INDEX(Managers!$B:$B,MATCH(A18,Managers!$A:$A,0)),"")</f>
        <v/>
      </c>
      <c r="C18" t="n">
        <v>3</v>
      </c>
      <c r="D18" t="n">
        <v>5</v>
      </c>
      <c r="E18" t="inlineStr">
        <is>
          <t>Team</t>
        </is>
      </c>
      <c r="G18">
        <f>IF($F18="","",IF($E18="Team",IFERROR(INDEX(DE_Teams!$B:$B,MATCH($F18,DE_Teams!$A:$A,0)),""),IFERROR(INDEX(DE_Players!$B:$B,MATCH($F18,DE_Players!$A:$A,0)),"")))</f>
        <v/>
      </c>
      <c r="H18">
        <f>IF($F18="","",IF($E18="Player",IFERROR(INDEX(DE_Players!$C:$C,MATCH($F18,DE_Players!$A:$A,0)),""),""))</f>
        <v/>
      </c>
      <c r="I18">
        <f>IF($F18="","",IF($E18="Team",IFERROR(INDEX(DE_Teams!$H:$H,MATCH($F18,DE_Teams!$A:$A,0)),0),IFERROR(INDEX(DE_Players!$K:$K,MATCH($F18,DE_Players!$A:$A,0)),0)))</f>
        <v/>
      </c>
      <c r="J18">
        <f>IF($F18="","",IF(COUNTIF($F$2:$F$200,$F18)&gt;1,"DUPLICATE",""))</f>
        <v/>
      </c>
    </row>
    <row r="19">
      <c r="B19">
        <f>IFERROR(INDEX(Managers!$B:$B,MATCH(A19,Managers!$A:$A,0)),"")</f>
        <v/>
      </c>
      <c r="C19" t="n">
        <v>3</v>
      </c>
      <c r="D19" t="n">
        <v>6</v>
      </c>
      <c r="E19" t="inlineStr">
        <is>
          <t>Team</t>
        </is>
      </c>
      <c r="G19">
        <f>IF($F19="","",IF($E19="Team",IFERROR(INDEX(DE_Teams!$B:$B,MATCH($F19,DE_Teams!$A:$A,0)),""),IFERROR(INDEX(DE_Players!$B:$B,MATCH($F19,DE_Players!$A:$A,0)),"")))</f>
        <v/>
      </c>
      <c r="H19">
        <f>IF($F19="","",IF($E19="Player",IFERROR(INDEX(DE_Players!$C:$C,MATCH($F19,DE_Players!$A:$A,0)),""),""))</f>
        <v/>
      </c>
      <c r="I19">
        <f>IF($F19="","",IF($E19="Team",IFERROR(INDEX(DE_Teams!$H:$H,MATCH($F19,DE_Teams!$A:$A,0)),0),IFERROR(INDEX(DE_Players!$K:$K,MATCH($F19,DE_Players!$A:$A,0)),0)))</f>
        <v/>
      </c>
      <c r="J19">
        <f>IF($F19="","",IF(COUNTIF($F$2:$F$200,$F19)&gt;1,"DUPLICATE",""))</f>
        <v/>
      </c>
    </row>
    <row r="20">
      <c r="B20">
        <f>IFERROR(INDEX(Managers!$B:$B,MATCH(A20,Managers!$A:$A,0)),"")</f>
        <v/>
      </c>
      <c r="C20" t="n">
        <v>4</v>
      </c>
      <c r="D20" t="n">
        <v>1</v>
      </c>
      <c r="E20" t="inlineStr">
        <is>
          <t>Team</t>
        </is>
      </c>
      <c r="G20">
        <f>IF($F20="","",IF($E20="Team",IFERROR(INDEX(DE_Teams!$B:$B,MATCH($F20,DE_Teams!$A:$A,0)),""),IFERROR(INDEX(DE_Players!$B:$B,MATCH($F20,DE_Players!$A:$A,0)),"")))</f>
        <v/>
      </c>
      <c r="H20">
        <f>IF($F20="","",IF($E20="Player",IFERROR(INDEX(DE_Players!$C:$C,MATCH($F20,DE_Players!$A:$A,0)),""),""))</f>
        <v/>
      </c>
      <c r="I20">
        <f>IF($F20="","",IF($E20="Team",IFERROR(INDEX(DE_Teams!$H:$H,MATCH($F20,DE_Teams!$A:$A,0)),0),IFERROR(INDEX(DE_Players!$K:$K,MATCH($F20,DE_Players!$A:$A,0)),0)))</f>
        <v/>
      </c>
      <c r="J20">
        <f>IF($F20="","",IF(COUNTIF($F$2:$F$200,$F20)&gt;1,"DUPLICATE",""))</f>
        <v/>
      </c>
    </row>
    <row r="21">
      <c r="B21">
        <f>IFERROR(INDEX(Managers!$B:$B,MATCH(A21,Managers!$A:$A,0)),"")</f>
        <v/>
      </c>
      <c r="C21" t="n">
        <v>4</v>
      </c>
      <c r="D21" t="n">
        <v>2</v>
      </c>
      <c r="E21" t="inlineStr">
        <is>
          <t>Team</t>
        </is>
      </c>
      <c r="G21">
        <f>IF($F21="","",IF($E21="Team",IFERROR(INDEX(DE_Teams!$B:$B,MATCH($F21,DE_Teams!$A:$A,0)),""),IFERROR(INDEX(DE_Players!$B:$B,MATCH($F21,DE_Players!$A:$A,0)),"")))</f>
        <v/>
      </c>
      <c r="H21">
        <f>IF($F21="","",IF($E21="Player",IFERROR(INDEX(DE_Players!$C:$C,MATCH($F21,DE_Players!$A:$A,0)),""),""))</f>
        <v/>
      </c>
      <c r="I21">
        <f>IF($F21="","",IF($E21="Team",IFERROR(INDEX(DE_Teams!$H:$H,MATCH($F21,DE_Teams!$A:$A,0)),0),IFERROR(INDEX(DE_Players!$K:$K,MATCH($F21,DE_Players!$A:$A,0)),0)))</f>
        <v/>
      </c>
      <c r="J21">
        <f>IF($F21="","",IF(COUNTIF($F$2:$F$200,$F21)&gt;1,"DUPLICATE",""))</f>
        <v/>
      </c>
    </row>
    <row r="22">
      <c r="B22">
        <f>IFERROR(INDEX(Managers!$B:$B,MATCH(A22,Managers!$A:$A,0)),"")</f>
        <v/>
      </c>
      <c r="C22" t="n">
        <v>4</v>
      </c>
      <c r="D22" t="n">
        <v>3</v>
      </c>
      <c r="E22" t="inlineStr">
        <is>
          <t>Team</t>
        </is>
      </c>
      <c r="G22">
        <f>IF($F22="","",IF($E22="Team",IFERROR(INDEX(DE_Teams!$B:$B,MATCH($F22,DE_Teams!$A:$A,0)),""),IFERROR(INDEX(DE_Players!$B:$B,MATCH($F22,DE_Players!$A:$A,0)),"")))</f>
        <v/>
      </c>
      <c r="H22">
        <f>IF($F22="","",IF($E22="Player",IFERROR(INDEX(DE_Players!$C:$C,MATCH($F22,DE_Players!$A:$A,0)),""),""))</f>
        <v/>
      </c>
      <c r="I22">
        <f>IF($F22="","",IF($E22="Team",IFERROR(INDEX(DE_Teams!$H:$H,MATCH($F22,DE_Teams!$A:$A,0)),0),IFERROR(INDEX(DE_Players!$K:$K,MATCH($F22,DE_Players!$A:$A,0)),0)))</f>
        <v/>
      </c>
      <c r="J22">
        <f>IF($F22="","",IF(COUNTIF($F$2:$F$200,$F22)&gt;1,"DUPLICATE",""))</f>
        <v/>
      </c>
    </row>
    <row r="23">
      <c r="B23">
        <f>IFERROR(INDEX(Managers!$B:$B,MATCH(A23,Managers!$A:$A,0)),"")</f>
        <v/>
      </c>
      <c r="C23" t="n">
        <v>4</v>
      </c>
      <c r="D23" t="n">
        <v>4</v>
      </c>
      <c r="E23" t="inlineStr">
        <is>
          <t>Team</t>
        </is>
      </c>
      <c r="G23">
        <f>IF($F23="","",IF($E23="Team",IFERROR(INDEX(DE_Teams!$B:$B,MATCH($F23,DE_Teams!$A:$A,0)),""),IFERROR(INDEX(DE_Players!$B:$B,MATCH($F23,DE_Players!$A:$A,0)),"")))</f>
        <v/>
      </c>
      <c r="H23">
        <f>IF($F23="","",IF($E23="Player",IFERROR(INDEX(DE_Players!$C:$C,MATCH($F23,DE_Players!$A:$A,0)),""),""))</f>
        <v/>
      </c>
      <c r="I23">
        <f>IF($F23="","",IF($E23="Team",IFERROR(INDEX(DE_Teams!$H:$H,MATCH($F23,DE_Teams!$A:$A,0)),0),IFERROR(INDEX(DE_Players!$K:$K,MATCH($F23,DE_Players!$A:$A,0)),0)))</f>
        <v/>
      </c>
      <c r="J23">
        <f>IF($F23="","",IF(COUNTIF($F$2:$F$200,$F23)&gt;1,"DUPLICATE",""))</f>
        <v/>
      </c>
    </row>
    <row r="24">
      <c r="B24">
        <f>IFERROR(INDEX(Managers!$B:$B,MATCH(A24,Managers!$A:$A,0)),"")</f>
        <v/>
      </c>
      <c r="C24" t="n">
        <v>4</v>
      </c>
      <c r="D24" t="n">
        <v>5</v>
      </c>
      <c r="E24" t="inlineStr">
        <is>
          <t>Team</t>
        </is>
      </c>
      <c r="G24">
        <f>IF($F24="","",IF($E24="Team",IFERROR(INDEX(DE_Teams!$B:$B,MATCH($F24,DE_Teams!$A:$A,0)),""),IFERROR(INDEX(DE_Players!$B:$B,MATCH($F24,DE_Players!$A:$A,0)),"")))</f>
        <v/>
      </c>
      <c r="H24">
        <f>IF($F24="","",IF($E24="Player",IFERROR(INDEX(DE_Players!$C:$C,MATCH($F24,DE_Players!$A:$A,0)),""),""))</f>
        <v/>
      </c>
      <c r="I24">
        <f>IF($F24="","",IF($E24="Team",IFERROR(INDEX(DE_Teams!$H:$H,MATCH($F24,DE_Teams!$A:$A,0)),0),IFERROR(INDEX(DE_Players!$K:$K,MATCH($F24,DE_Players!$A:$A,0)),0)))</f>
        <v/>
      </c>
      <c r="J24">
        <f>IF($F24="","",IF(COUNTIF($F$2:$F$200,$F24)&gt;1,"DUPLICATE",""))</f>
        <v/>
      </c>
    </row>
    <row r="25">
      <c r="B25">
        <f>IFERROR(INDEX(Managers!$B:$B,MATCH(A25,Managers!$A:$A,0)),"")</f>
        <v/>
      </c>
      <c r="C25" t="n">
        <v>4</v>
      </c>
      <c r="D25" t="n">
        <v>6</v>
      </c>
      <c r="E25" t="inlineStr">
        <is>
          <t>Team</t>
        </is>
      </c>
      <c r="G25">
        <f>IF($F25="","",IF($E25="Team",IFERROR(INDEX(DE_Teams!$B:$B,MATCH($F25,DE_Teams!$A:$A,0)),""),IFERROR(INDEX(DE_Players!$B:$B,MATCH($F25,DE_Players!$A:$A,0)),"")))</f>
        <v/>
      </c>
      <c r="H25">
        <f>IF($F25="","",IF($E25="Player",IFERROR(INDEX(DE_Players!$C:$C,MATCH($F25,DE_Players!$A:$A,0)),""),""))</f>
        <v/>
      </c>
      <c r="I25">
        <f>IF($F25="","",IF($E25="Team",IFERROR(INDEX(DE_Teams!$H:$H,MATCH($F25,DE_Teams!$A:$A,0)),0),IFERROR(INDEX(DE_Players!$K:$K,MATCH($F25,DE_Players!$A:$A,0)),0)))</f>
        <v/>
      </c>
      <c r="J25">
        <f>IF($F25="","",IF(COUNTIF($F$2:$F$200,$F25)&gt;1,"DUPLICATE",""))</f>
        <v/>
      </c>
    </row>
    <row r="26">
      <c r="B26">
        <f>IFERROR(INDEX(Managers!$B:$B,MATCH(A26,Managers!$A:$A,0)),"")</f>
        <v/>
      </c>
      <c r="C26" t="n">
        <v>5</v>
      </c>
      <c r="D26" t="n">
        <v>1</v>
      </c>
      <c r="E26" t="inlineStr">
        <is>
          <t>Player</t>
        </is>
      </c>
      <c r="G26">
        <f>IF($F26="","",IF($E26="Team",IFERROR(INDEX(DE_Teams!$B:$B,MATCH($F26,DE_Teams!$A:$A,0)),""),IFERROR(INDEX(DE_Players!$B:$B,MATCH($F26,DE_Players!$A:$A,0)),"")))</f>
        <v/>
      </c>
      <c r="H26">
        <f>IF($F26="","",IF($E26="Player",IFERROR(INDEX(DE_Players!$C:$C,MATCH($F26,DE_Players!$A:$A,0)),""),""))</f>
        <v/>
      </c>
      <c r="I26">
        <f>IF($F26="","",IF($E26="Team",IFERROR(INDEX(DE_Teams!$H:$H,MATCH($F26,DE_Teams!$A:$A,0)),0),IFERROR(INDEX(DE_Players!$K:$K,MATCH($F26,DE_Players!$A:$A,0)),0)))</f>
        <v/>
      </c>
      <c r="J26">
        <f>IF($F26="","",IF(COUNTIF($F$2:$F$200,$F26)&gt;1,"DUPLICATE",""))</f>
        <v/>
      </c>
    </row>
    <row r="27">
      <c r="B27">
        <f>IFERROR(INDEX(Managers!$B:$B,MATCH(A27,Managers!$A:$A,0)),"")</f>
        <v/>
      </c>
      <c r="C27" t="n">
        <v>5</v>
      </c>
      <c r="D27" t="n">
        <v>2</v>
      </c>
      <c r="E27" t="inlineStr">
        <is>
          <t>Player</t>
        </is>
      </c>
      <c r="G27">
        <f>IF($F27="","",IF($E27="Team",IFERROR(INDEX(DE_Teams!$B:$B,MATCH($F27,DE_Teams!$A:$A,0)),""),IFERROR(INDEX(DE_Players!$B:$B,MATCH($F27,DE_Players!$A:$A,0)),"")))</f>
        <v/>
      </c>
      <c r="H27">
        <f>IF($F27="","",IF($E27="Player",IFERROR(INDEX(DE_Players!$C:$C,MATCH($F27,DE_Players!$A:$A,0)),""),""))</f>
        <v/>
      </c>
      <c r="I27">
        <f>IF($F27="","",IF($E27="Team",IFERROR(INDEX(DE_Teams!$H:$H,MATCH($F27,DE_Teams!$A:$A,0)),0),IFERROR(INDEX(DE_Players!$K:$K,MATCH($F27,DE_Players!$A:$A,0)),0)))</f>
        <v/>
      </c>
      <c r="J27">
        <f>IF($F27="","",IF(COUNTIF($F$2:$F$200,$F27)&gt;1,"DUPLICATE",""))</f>
        <v/>
      </c>
    </row>
    <row r="28">
      <c r="B28">
        <f>IFERROR(INDEX(Managers!$B:$B,MATCH(A28,Managers!$A:$A,0)),"")</f>
        <v/>
      </c>
      <c r="C28" t="n">
        <v>5</v>
      </c>
      <c r="D28" t="n">
        <v>3</v>
      </c>
      <c r="E28" t="inlineStr">
        <is>
          <t>Player</t>
        </is>
      </c>
      <c r="G28">
        <f>IF($F28="","",IF($E28="Team",IFERROR(INDEX(DE_Teams!$B:$B,MATCH($F28,DE_Teams!$A:$A,0)),""),IFERROR(INDEX(DE_Players!$B:$B,MATCH($F28,DE_Players!$A:$A,0)),"")))</f>
        <v/>
      </c>
      <c r="H28">
        <f>IF($F28="","",IF($E28="Player",IFERROR(INDEX(DE_Players!$C:$C,MATCH($F28,DE_Players!$A:$A,0)),""),""))</f>
        <v/>
      </c>
      <c r="I28">
        <f>IF($F28="","",IF($E28="Team",IFERROR(INDEX(DE_Teams!$H:$H,MATCH($F28,DE_Teams!$A:$A,0)),0),IFERROR(INDEX(DE_Players!$K:$K,MATCH($F28,DE_Players!$A:$A,0)),0)))</f>
        <v/>
      </c>
      <c r="J28">
        <f>IF($F28="","",IF(COUNTIF($F$2:$F$200,$F28)&gt;1,"DUPLICATE",""))</f>
        <v/>
      </c>
    </row>
    <row r="29">
      <c r="B29">
        <f>IFERROR(INDEX(Managers!$B:$B,MATCH(A29,Managers!$A:$A,0)),"")</f>
        <v/>
      </c>
      <c r="C29" t="n">
        <v>5</v>
      </c>
      <c r="D29" t="n">
        <v>4</v>
      </c>
      <c r="E29" t="inlineStr">
        <is>
          <t>Player</t>
        </is>
      </c>
      <c r="G29">
        <f>IF($F29="","",IF($E29="Team",IFERROR(INDEX(DE_Teams!$B:$B,MATCH($F29,DE_Teams!$A:$A,0)),""),IFERROR(INDEX(DE_Players!$B:$B,MATCH($F29,DE_Players!$A:$A,0)),"")))</f>
        <v/>
      </c>
      <c r="H29">
        <f>IF($F29="","",IF($E29="Player",IFERROR(INDEX(DE_Players!$C:$C,MATCH($F29,DE_Players!$A:$A,0)),""),""))</f>
        <v/>
      </c>
      <c r="I29">
        <f>IF($F29="","",IF($E29="Team",IFERROR(INDEX(DE_Teams!$H:$H,MATCH($F29,DE_Teams!$A:$A,0)),0),IFERROR(INDEX(DE_Players!$K:$K,MATCH($F29,DE_Players!$A:$A,0)),0)))</f>
        <v/>
      </c>
      <c r="J29">
        <f>IF($F29="","",IF(COUNTIF($F$2:$F$200,$F29)&gt;1,"DUPLICATE",""))</f>
        <v/>
      </c>
    </row>
    <row r="30">
      <c r="B30">
        <f>IFERROR(INDEX(Managers!$B:$B,MATCH(A30,Managers!$A:$A,0)),"")</f>
        <v/>
      </c>
      <c r="C30" t="n">
        <v>5</v>
      </c>
      <c r="D30" t="n">
        <v>5</v>
      </c>
      <c r="E30" t="inlineStr">
        <is>
          <t>Player</t>
        </is>
      </c>
      <c r="G30">
        <f>IF($F30="","",IF($E30="Team",IFERROR(INDEX(DE_Teams!$B:$B,MATCH($F30,DE_Teams!$A:$A,0)),""),IFERROR(INDEX(DE_Players!$B:$B,MATCH($F30,DE_Players!$A:$A,0)),"")))</f>
        <v/>
      </c>
      <c r="H30">
        <f>IF($F30="","",IF($E30="Player",IFERROR(INDEX(DE_Players!$C:$C,MATCH($F30,DE_Players!$A:$A,0)),""),""))</f>
        <v/>
      </c>
      <c r="I30">
        <f>IF($F30="","",IF($E30="Team",IFERROR(INDEX(DE_Teams!$H:$H,MATCH($F30,DE_Teams!$A:$A,0)),0),IFERROR(INDEX(DE_Players!$K:$K,MATCH($F30,DE_Players!$A:$A,0)),0)))</f>
        <v/>
      </c>
      <c r="J30">
        <f>IF($F30="","",IF(COUNTIF($F$2:$F$200,$F30)&gt;1,"DUPLICATE",""))</f>
        <v/>
      </c>
    </row>
    <row r="31">
      <c r="B31">
        <f>IFERROR(INDEX(Managers!$B:$B,MATCH(A31,Managers!$A:$A,0)),"")</f>
        <v/>
      </c>
      <c r="C31" t="n">
        <v>5</v>
      </c>
      <c r="D31" t="n">
        <v>6</v>
      </c>
      <c r="E31" t="inlineStr">
        <is>
          <t>Player</t>
        </is>
      </c>
      <c r="G31">
        <f>IF($F31="","",IF($E31="Team",IFERROR(INDEX(DE_Teams!$B:$B,MATCH($F31,DE_Teams!$A:$A,0)),""),IFERROR(INDEX(DE_Players!$B:$B,MATCH($F31,DE_Players!$A:$A,0)),"")))</f>
        <v/>
      </c>
      <c r="H31">
        <f>IF($F31="","",IF($E31="Player",IFERROR(INDEX(DE_Players!$C:$C,MATCH($F31,DE_Players!$A:$A,0)),""),""))</f>
        <v/>
      </c>
      <c r="I31">
        <f>IF($F31="","",IF($E31="Team",IFERROR(INDEX(DE_Teams!$H:$H,MATCH($F31,DE_Teams!$A:$A,0)),0),IFERROR(INDEX(DE_Players!$K:$K,MATCH($F31,DE_Players!$A:$A,0)),0)))</f>
        <v/>
      </c>
      <c r="J31">
        <f>IF($F31="","",IF(COUNTIF($F$2:$F$200,$F31)&gt;1,"DUPLICATE",""))</f>
        <v/>
      </c>
    </row>
    <row r="32">
      <c r="B32">
        <f>IFERROR(INDEX(Managers!$B:$B,MATCH(A32,Managers!$A:$A,0)),"")</f>
        <v/>
      </c>
      <c r="C32" t="n">
        <v>6</v>
      </c>
      <c r="D32" t="n">
        <v>1</v>
      </c>
      <c r="E32" t="inlineStr">
        <is>
          <t>Player</t>
        </is>
      </c>
      <c r="G32">
        <f>IF($F32="","",IF($E32="Team",IFERROR(INDEX(DE_Teams!$B:$B,MATCH($F32,DE_Teams!$A:$A,0)),""),IFERROR(INDEX(DE_Players!$B:$B,MATCH($F32,DE_Players!$A:$A,0)),"")))</f>
        <v/>
      </c>
      <c r="H32">
        <f>IF($F32="","",IF($E32="Player",IFERROR(INDEX(DE_Players!$C:$C,MATCH($F32,DE_Players!$A:$A,0)),""),""))</f>
        <v/>
      </c>
      <c r="I32">
        <f>IF($F32="","",IF($E32="Team",IFERROR(INDEX(DE_Teams!$H:$H,MATCH($F32,DE_Teams!$A:$A,0)),0),IFERROR(INDEX(DE_Players!$K:$K,MATCH($F32,DE_Players!$A:$A,0)),0)))</f>
        <v/>
      </c>
      <c r="J32">
        <f>IF($F32="","",IF(COUNTIF($F$2:$F$200,$F32)&gt;1,"DUPLICATE",""))</f>
        <v/>
      </c>
    </row>
    <row r="33">
      <c r="B33">
        <f>IFERROR(INDEX(Managers!$B:$B,MATCH(A33,Managers!$A:$A,0)),"")</f>
        <v/>
      </c>
      <c r="C33" t="n">
        <v>6</v>
      </c>
      <c r="D33" t="n">
        <v>2</v>
      </c>
      <c r="E33" t="inlineStr">
        <is>
          <t>Player</t>
        </is>
      </c>
      <c r="G33">
        <f>IF($F33="","",IF($E33="Team",IFERROR(INDEX(DE_Teams!$B:$B,MATCH($F33,DE_Teams!$A:$A,0)),""),IFERROR(INDEX(DE_Players!$B:$B,MATCH($F33,DE_Players!$A:$A,0)),"")))</f>
        <v/>
      </c>
      <c r="H33">
        <f>IF($F33="","",IF($E33="Player",IFERROR(INDEX(DE_Players!$C:$C,MATCH($F33,DE_Players!$A:$A,0)),""),""))</f>
        <v/>
      </c>
      <c r="I33">
        <f>IF($F33="","",IF($E33="Team",IFERROR(INDEX(DE_Teams!$H:$H,MATCH($F33,DE_Teams!$A:$A,0)),0),IFERROR(INDEX(DE_Players!$K:$K,MATCH($F33,DE_Players!$A:$A,0)),0)))</f>
        <v/>
      </c>
      <c r="J33">
        <f>IF($F33="","",IF(COUNTIF($F$2:$F$200,$F33)&gt;1,"DUPLICATE",""))</f>
        <v/>
      </c>
    </row>
    <row r="34">
      <c r="B34">
        <f>IFERROR(INDEX(Managers!$B:$B,MATCH(A34,Managers!$A:$A,0)),"")</f>
        <v/>
      </c>
      <c r="C34" t="n">
        <v>6</v>
      </c>
      <c r="D34" t="n">
        <v>3</v>
      </c>
      <c r="E34" t="inlineStr">
        <is>
          <t>Player</t>
        </is>
      </c>
      <c r="G34">
        <f>IF($F34="","",IF($E34="Team",IFERROR(INDEX(DE_Teams!$B:$B,MATCH($F34,DE_Teams!$A:$A,0)),""),IFERROR(INDEX(DE_Players!$B:$B,MATCH($F34,DE_Players!$A:$A,0)),"")))</f>
        <v/>
      </c>
      <c r="H34">
        <f>IF($F34="","",IF($E34="Player",IFERROR(INDEX(DE_Players!$C:$C,MATCH($F34,DE_Players!$A:$A,0)),""),""))</f>
        <v/>
      </c>
      <c r="I34">
        <f>IF($F34="","",IF($E34="Team",IFERROR(INDEX(DE_Teams!$H:$H,MATCH($F34,DE_Teams!$A:$A,0)),0),IFERROR(INDEX(DE_Players!$K:$K,MATCH($F34,DE_Players!$A:$A,0)),0)))</f>
        <v/>
      </c>
      <c r="J34">
        <f>IF($F34="","",IF(COUNTIF($F$2:$F$200,$F34)&gt;1,"DUPLICATE",""))</f>
        <v/>
      </c>
    </row>
    <row r="35">
      <c r="B35">
        <f>IFERROR(INDEX(Managers!$B:$B,MATCH(A35,Managers!$A:$A,0)),"")</f>
        <v/>
      </c>
      <c r="C35" t="n">
        <v>6</v>
      </c>
      <c r="D35" t="n">
        <v>4</v>
      </c>
      <c r="E35" t="inlineStr">
        <is>
          <t>Player</t>
        </is>
      </c>
      <c r="G35">
        <f>IF($F35="","",IF($E35="Team",IFERROR(INDEX(DE_Teams!$B:$B,MATCH($F35,DE_Teams!$A:$A,0)),""),IFERROR(INDEX(DE_Players!$B:$B,MATCH($F35,DE_Players!$A:$A,0)),"")))</f>
        <v/>
      </c>
      <c r="H35">
        <f>IF($F35="","",IF($E35="Player",IFERROR(INDEX(DE_Players!$C:$C,MATCH($F35,DE_Players!$A:$A,0)),""),""))</f>
        <v/>
      </c>
      <c r="I35">
        <f>IF($F35="","",IF($E35="Team",IFERROR(INDEX(DE_Teams!$H:$H,MATCH($F35,DE_Teams!$A:$A,0)),0),IFERROR(INDEX(DE_Players!$K:$K,MATCH($F35,DE_Players!$A:$A,0)),0)))</f>
        <v/>
      </c>
      <c r="J35">
        <f>IF($F35="","",IF(COUNTIF($F$2:$F$200,$F35)&gt;1,"DUPLICATE",""))</f>
        <v/>
      </c>
    </row>
    <row r="36">
      <c r="B36">
        <f>IFERROR(INDEX(Managers!$B:$B,MATCH(A36,Managers!$A:$A,0)),"")</f>
        <v/>
      </c>
      <c r="C36" t="n">
        <v>6</v>
      </c>
      <c r="D36" t="n">
        <v>5</v>
      </c>
      <c r="E36" t="inlineStr">
        <is>
          <t>Player</t>
        </is>
      </c>
      <c r="G36">
        <f>IF($F36="","",IF($E36="Team",IFERROR(INDEX(DE_Teams!$B:$B,MATCH($F36,DE_Teams!$A:$A,0)),""),IFERROR(INDEX(DE_Players!$B:$B,MATCH($F36,DE_Players!$A:$A,0)),"")))</f>
        <v/>
      </c>
      <c r="H36">
        <f>IF($F36="","",IF($E36="Player",IFERROR(INDEX(DE_Players!$C:$C,MATCH($F36,DE_Players!$A:$A,0)),""),""))</f>
        <v/>
      </c>
      <c r="I36">
        <f>IF($F36="","",IF($E36="Team",IFERROR(INDEX(DE_Teams!$H:$H,MATCH($F36,DE_Teams!$A:$A,0)),0),IFERROR(INDEX(DE_Players!$K:$K,MATCH($F36,DE_Players!$A:$A,0)),0)))</f>
        <v/>
      </c>
      <c r="J36">
        <f>IF($F36="","",IF(COUNTIF($F$2:$F$200,$F36)&gt;1,"DUPLICATE",""))</f>
        <v/>
      </c>
    </row>
    <row r="37">
      <c r="B37">
        <f>IFERROR(INDEX(Managers!$B:$B,MATCH(A37,Managers!$A:$A,0)),"")</f>
        <v/>
      </c>
      <c r="C37" t="n">
        <v>6</v>
      </c>
      <c r="D37" t="n">
        <v>6</v>
      </c>
      <c r="E37" t="inlineStr">
        <is>
          <t>Player</t>
        </is>
      </c>
      <c r="G37">
        <f>IF($F37="","",IF($E37="Team",IFERROR(INDEX(DE_Teams!$B:$B,MATCH($F37,DE_Teams!$A:$A,0)),""),IFERROR(INDEX(DE_Players!$B:$B,MATCH($F37,DE_Players!$A:$A,0)),"")))</f>
        <v/>
      </c>
      <c r="H37">
        <f>IF($F37="","",IF($E37="Player",IFERROR(INDEX(DE_Players!$C:$C,MATCH($F37,DE_Players!$A:$A,0)),""),""))</f>
        <v/>
      </c>
      <c r="I37">
        <f>IF($F37="","",IF($E37="Team",IFERROR(INDEX(DE_Teams!$H:$H,MATCH($F37,DE_Teams!$A:$A,0)),0),IFERROR(INDEX(DE_Players!$K:$K,MATCH($F37,DE_Players!$A:$A,0)),0)))</f>
        <v/>
      </c>
      <c r="J37">
        <f>IF($F37="","",IF(COUNTIF($F$2:$F$200,$F37)&gt;1,"DUPLICATE",""))</f>
        <v/>
      </c>
    </row>
    <row r="38">
      <c r="B38">
        <f>IFERROR(INDEX(Managers!$B:$B,MATCH(A38,Managers!$A:$A,0)),"")</f>
        <v/>
      </c>
      <c r="C38" t="n">
        <v>7</v>
      </c>
      <c r="D38" t="n">
        <v>1</v>
      </c>
      <c r="E38" t="inlineStr">
        <is>
          <t>Player</t>
        </is>
      </c>
      <c r="G38">
        <f>IF($F38="","",IF($E38="Team",IFERROR(INDEX(DE_Teams!$B:$B,MATCH($F38,DE_Teams!$A:$A,0)),""),IFERROR(INDEX(DE_Players!$B:$B,MATCH($F38,DE_Players!$A:$A,0)),"")))</f>
        <v/>
      </c>
      <c r="H38">
        <f>IF($F38="","",IF($E38="Player",IFERROR(INDEX(DE_Players!$C:$C,MATCH($F38,DE_Players!$A:$A,0)),""),""))</f>
        <v/>
      </c>
      <c r="I38">
        <f>IF($F38="","",IF($E38="Team",IFERROR(INDEX(DE_Teams!$H:$H,MATCH($F38,DE_Teams!$A:$A,0)),0),IFERROR(INDEX(DE_Players!$K:$K,MATCH($F38,DE_Players!$A:$A,0)),0)))</f>
        <v/>
      </c>
      <c r="J38">
        <f>IF($F38="","",IF(COUNTIF($F$2:$F$200,$F38)&gt;1,"DUPLICATE",""))</f>
        <v/>
      </c>
    </row>
    <row r="39">
      <c r="B39">
        <f>IFERROR(INDEX(Managers!$B:$B,MATCH(A39,Managers!$A:$A,0)),"")</f>
        <v/>
      </c>
      <c r="C39" t="n">
        <v>7</v>
      </c>
      <c r="D39" t="n">
        <v>2</v>
      </c>
      <c r="E39" t="inlineStr">
        <is>
          <t>Player</t>
        </is>
      </c>
      <c r="G39">
        <f>IF($F39="","",IF($E39="Team",IFERROR(INDEX(DE_Teams!$B:$B,MATCH($F39,DE_Teams!$A:$A,0)),""),IFERROR(INDEX(DE_Players!$B:$B,MATCH($F39,DE_Players!$A:$A,0)),"")))</f>
        <v/>
      </c>
      <c r="H39">
        <f>IF($F39="","",IF($E39="Player",IFERROR(INDEX(DE_Players!$C:$C,MATCH($F39,DE_Players!$A:$A,0)),""),""))</f>
        <v/>
      </c>
      <c r="I39">
        <f>IF($F39="","",IF($E39="Team",IFERROR(INDEX(DE_Teams!$H:$H,MATCH($F39,DE_Teams!$A:$A,0)),0),IFERROR(INDEX(DE_Players!$K:$K,MATCH($F39,DE_Players!$A:$A,0)),0)))</f>
        <v/>
      </c>
      <c r="J39">
        <f>IF($F39="","",IF(COUNTIF($F$2:$F$200,$F39)&gt;1,"DUPLICATE",""))</f>
        <v/>
      </c>
    </row>
    <row r="40">
      <c r="B40">
        <f>IFERROR(INDEX(Managers!$B:$B,MATCH(A40,Managers!$A:$A,0)),"")</f>
        <v/>
      </c>
      <c r="C40" t="n">
        <v>7</v>
      </c>
      <c r="D40" t="n">
        <v>3</v>
      </c>
      <c r="E40" t="inlineStr">
        <is>
          <t>Player</t>
        </is>
      </c>
      <c r="G40">
        <f>IF($F40="","",IF($E40="Team",IFERROR(INDEX(DE_Teams!$B:$B,MATCH($F40,DE_Teams!$A:$A,0)),""),IFERROR(INDEX(DE_Players!$B:$B,MATCH($F40,DE_Players!$A:$A,0)),"")))</f>
        <v/>
      </c>
      <c r="H40">
        <f>IF($F40="","",IF($E40="Player",IFERROR(INDEX(DE_Players!$C:$C,MATCH($F40,DE_Players!$A:$A,0)),""),""))</f>
        <v/>
      </c>
      <c r="I40">
        <f>IF($F40="","",IF($E40="Team",IFERROR(INDEX(DE_Teams!$H:$H,MATCH($F40,DE_Teams!$A:$A,0)),0),IFERROR(INDEX(DE_Players!$K:$K,MATCH($F40,DE_Players!$A:$A,0)),0)))</f>
        <v/>
      </c>
      <c r="J40">
        <f>IF($F40="","",IF(COUNTIF($F$2:$F$200,$F40)&gt;1,"DUPLICATE",""))</f>
        <v/>
      </c>
    </row>
    <row r="41">
      <c r="B41">
        <f>IFERROR(INDEX(Managers!$B:$B,MATCH(A41,Managers!$A:$A,0)),"")</f>
        <v/>
      </c>
      <c r="C41" t="n">
        <v>7</v>
      </c>
      <c r="D41" t="n">
        <v>4</v>
      </c>
      <c r="E41" t="inlineStr">
        <is>
          <t>Player</t>
        </is>
      </c>
      <c r="G41">
        <f>IF($F41="","",IF($E41="Team",IFERROR(INDEX(DE_Teams!$B:$B,MATCH($F41,DE_Teams!$A:$A,0)),""),IFERROR(INDEX(DE_Players!$B:$B,MATCH($F41,DE_Players!$A:$A,0)),"")))</f>
        <v/>
      </c>
      <c r="H41">
        <f>IF($F41="","",IF($E41="Player",IFERROR(INDEX(DE_Players!$C:$C,MATCH($F41,DE_Players!$A:$A,0)),""),""))</f>
        <v/>
      </c>
      <c r="I41">
        <f>IF($F41="","",IF($E41="Team",IFERROR(INDEX(DE_Teams!$H:$H,MATCH($F41,DE_Teams!$A:$A,0)),0),IFERROR(INDEX(DE_Players!$K:$K,MATCH($F41,DE_Players!$A:$A,0)),0)))</f>
        <v/>
      </c>
      <c r="J41">
        <f>IF($F41="","",IF(COUNTIF($F$2:$F$200,$F41)&gt;1,"DUPLICATE",""))</f>
        <v/>
      </c>
    </row>
    <row r="42">
      <c r="B42">
        <f>IFERROR(INDEX(Managers!$B:$B,MATCH(A42,Managers!$A:$A,0)),"")</f>
        <v/>
      </c>
      <c r="C42" t="n">
        <v>7</v>
      </c>
      <c r="D42" t="n">
        <v>5</v>
      </c>
      <c r="E42" t="inlineStr">
        <is>
          <t>Player</t>
        </is>
      </c>
      <c r="G42">
        <f>IF($F42="","",IF($E42="Team",IFERROR(INDEX(DE_Teams!$B:$B,MATCH($F42,DE_Teams!$A:$A,0)),""),IFERROR(INDEX(DE_Players!$B:$B,MATCH($F42,DE_Players!$A:$A,0)),"")))</f>
        <v/>
      </c>
      <c r="H42">
        <f>IF($F42="","",IF($E42="Player",IFERROR(INDEX(DE_Players!$C:$C,MATCH($F42,DE_Players!$A:$A,0)),""),""))</f>
        <v/>
      </c>
      <c r="I42">
        <f>IF($F42="","",IF($E42="Team",IFERROR(INDEX(DE_Teams!$H:$H,MATCH($F42,DE_Teams!$A:$A,0)),0),IFERROR(INDEX(DE_Players!$K:$K,MATCH($F42,DE_Players!$A:$A,0)),0)))</f>
        <v/>
      </c>
      <c r="J42">
        <f>IF($F42="","",IF(COUNTIF($F$2:$F$200,$F42)&gt;1,"DUPLICATE",""))</f>
        <v/>
      </c>
    </row>
    <row r="43">
      <c r="B43">
        <f>IFERROR(INDEX(Managers!$B:$B,MATCH(A43,Managers!$A:$A,0)),"")</f>
        <v/>
      </c>
      <c r="C43" t="n">
        <v>7</v>
      </c>
      <c r="D43" t="n">
        <v>6</v>
      </c>
      <c r="E43" t="inlineStr">
        <is>
          <t>Player</t>
        </is>
      </c>
      <c r="G43">
        <f>IF($F43="","",IF($E43="Team",IFERROR(INDEX(DE_Teams!$B:$B,MATCH($F43,DE_Teams!$A:$A,0)),""),IFERROR(INDEX(DE_Players!$B:$B,MATCH($F43,DE_Players!$A:$A,0)),"")))</f>
        <v/>
      </c>
      <c r="H43">
        <f>IF($F43="","",IF($E43="Player",IFERROR(INDEX(DE_Players!$C:$C,MATCH($F43,DE_Players!$A:$A,0)),""),""))</f>
        <v/>
      </c>
      <c r="I43">
        <f>IF($F43="","",IF($E43="Team",IFERROR(INDEX(DE_Teams!$H:$H,MATCH($F43,DE_Teams!$A:$A,0)),0),IFERROR(INDEX(DE_Players!$K:$K,MATCH($F43,DE_Players!$A:$A,0)),0)))</f>
        <v/>
      </c>
      <c r="J43">
        <f>IF($F43="","",IF(COUNTIF($F$2:$F$200,$F43)&gt;1,"DUPLICATE",""))</f>
        <v/>
      </c>
    </row>
    <row r="44">
      <c r="B44">
        <f>IFERROR(INDEX(Managers!$B:$B,MATCH(A44,Managers!$A:$A,0)),"")</f>
        <v/>
      </c>
      <c r="C44" t="n">
        <v>8</v>
      </c>
      <c r="D44" t="n">
        <v>1</v>
      </c>
      <c r="E44" t="inlineStr">
        <is>
          <t>Player</t>
        </is>
      </c>
      <c r="G44">
        <f>IF($F44="","",IF($E44="Team",IFERROR(INDEX(DE_Teams!$B:$B,MATCH($F44,DE_Teams!$A:$A,0)),""),IFERROR(INDEX(DE_Players!$B:$B,MATCH($F44,DE_Players!$A:$A,0)),"")))</f>
        <v/>
      </c>
      <c r="H44">
        <f>IF($F44="","",IF($E44="Player",IFERROR(INDEX(DE_Players!$C:$C,MATCH($F44,DE_Players!$A:$A,0)),""),""))</f>
        <v/>
      </c>
      <c r="I44">
        <f>IF($F44="","",IF($E44="Team",IFERROR(INDEX(DE_Teams!$H:$H,MATCH($F44,DE_Teams!$A:$A,0)),0),IFERROR(INDEX(DE_Players!$K:$K,MATCH($F44,DE_Players!$A:$A,0)),0)))</f>
        <v/>
      </c>
      <c r="J44">
        <f>IF($F44="","",IF(COUNTIF($F$2:$F$200,$F44)&gt;1,"DUPLICATE",""))</f>
        <v/>
      </c>
    </row>
    <row r="45">
      <c r="B45">
        <f>IFERROR(INDEX(Managers!$B:$B,MATCH(A45,Managers!$A:$A,0)),"")</f>
        <v/>
      </c>
      <c r="C45" t="n">
        <v>8</v>
      </c>
      <c r="D45" t="n">
        <v>2</v>
      </c>
      <c r="E45" t="inlineStr">
        <is>
          <t>Player</t>
        </is>
      </c>
      <c r="G45">
        <f>IF($F45="","",IF($E45="Team",IFERROR(INDEX(DE_Teams!$B:$B,MATCH($F45,DE_Teams!$A:$A,0)),""),IFERROR(INDEX(DE_Players!$B:$B,MATCH($F45,DE_Players!$A:$A,0)),"")))</f>
        <v/>
      </c>
      <c r="H45">
        <f>IF($F45="","",IF($E45="Player",IFERROR(INDEX(DE_Players!$C:$C,MATCH($F45,DE_Players!$A:$A,0)),""),""))</f>
        <v/>
      </c>
      <c r="I45">
        <f>IF($F45="","",IF($E45="Team",IFERROR(INDEX(DE_Teams!$H:$H,MATCH($F45,DE_Teams!$A:$A,0)),0),IFERROR(INDEX(DE_Players!$K:$K,MATCH($F45,DE_Players!$A:$A,0)),0)))</f>
        <v/>
      </c>
      <c r="J45">
        <f>IF($F45="","",IF(COUNTIF($F$2:$F$200,$F45)&gt;1,"DUPLICATE",""))</f>
        <v/>
      </c>
    </row>
    <row r="46">
      <c r="B46">
        <f>IFERROR(INDEX(Managers!$B:$B,MATCH(A46,Managers!$A:$A,0)),"")</f>
        <v/>
      </c>
      <c r="C46" t="n">
        <v>8</v>
      </c>
      <c r="D46" t="n">
        <v>3</v>
      </c>
      <c r="E46" t="inlineStr">
        <is>
          <t>Player</t>
        </is>
      </c>
      <c r="G46">
        <f>IF($F46="","",IF($E46="Team",IFERROR(INDEX(DE_Teams!$B:$B,MATCH($F46,DE_Teams!$A:$A,0)),""),IFERROR(INDEX(DE_Players!$B:$B,MATCH($F46,DE_Players!$A:$A,0)),"")))</f>
        <v/>
      </c>
      <c r="H46">
        <f>IF($F46="","",IF($E46="Player",IFERROR(INDEX(DE_Players!$C:$C,MATCH($F46,DE_Players!$A:$A,0)),""),""))</f>
        <v/>
      </c>
      <c r="I46">
        <f>IF($F46="","",IF($E46="Team",IFERROR(INDEX(DE_Teams!$H:$H,MATCH($F46,DE_Teams!$A:$A,0)),0),IFERROR(INDEX(DE_Players!$K:$K,MATCH($F46,DE_Players!$A:$A,0)),0)))</f>
        <v/>
      </c>
      <c r="J46">
        <f>IF($F46="","",IF(COUNTIF($F$2:$F$200,$F46)&gt;1,"DUPLICATE",""))</f>
        <v/>
      </c>
    </row>
    <row r="47">
      <c r="B47">
        <f>IFERROR(INDEX(Managers!$B:$B,MATCH(A47,Managers!$A:$A,0)),"")</f>
        <v/>
      </c>
      <c r="C47" t="n">
        <v>8</v>
      </c>
      <c r="D47" t="n">
        <v>4</v>
      </c>
      <c r="E47" t="inlineStr">
        <is>
          <t>Player</t>
        </is>
      </c>
      <c r="G47">
        <f>IF($F47="","",IF($E47="Team",IFERROR(INDEX(DE_Teams!$B:$B,MATCH($F47,DE_Teams!$A:$A,0)),""),IFERROR(INDEX(DE_Players!$B:$B,MATCH($F47,DE_Players!$A:$A,0)),"")))</f>
        <v/>
      </c>
      <c r="H47">
        <f>IF($F47="","",IF($E47="Player",IFERROR(INDEX(DE_Players!$C:$C,MATCH($F47,DE_Players!$A:$A,0)),""),""))</f>
        <v/>
      </c>
      <c r="I47">
        <f>IF($F47="","",IF($E47="Team",IFERROR(INDEX(DE_Teams!$H:$H,MATCH($F47,DE_Teams!$A:$A,0)),0),IFERROR(INDEX(DE_Players!$K:$K,MATCH($F47,DE_Players!$A:$A,0)),0)))</f>
        <v/>
      </c>
      <c r="J47">
        <f>IF($F47="","",IF(COUNTIF($F$2:$F$200,$F47)&gt;1,"DUPLICATE",""))</f>
        <v/>
      </c>
    </row>
    <row r="48">
      <c r="B48">
        <f>IFERROR(INDEX(Managers!$B:$B,MATCH(A48,Managers!$A:$A,0)),"")</f>
        <v/>
      </c>
      <c r="C48" t="n">
        <v>8</v>
      </c>
      <c r="D48" t="n">
        <v>5</v>
      </c>
      <c r="E48" t="inlineStr">
        <is>
          <t>Player</t>
        </is>
      </c>
      <c r="G48">
        <f>IF($F48="","",IF($E48="Team",IFERROR(INDEX(DE_Teams!$B:$B,MATCH($F48,DE_Teams!$A:$A,0)),""),IFERROR(INDEX(DE_Players!$B:$B,MATCH($F48,DE_Players!$A:$A,0)),"")))</f>
        <v/>
      </c>
      <c r="H48">
        <f>IF($F48="","",IF($E48="Player",IFERROR(INDEX(DE_Players!$C:$C,MATCH($F48,DE_Players!$A:$A,0)),""),""))</f>
        <v/>
      </c>
      <c r="I48">
        <f>IF($F48="","",IF($E48="Team",IFERROR(INDEX(DE_Teams!$H:$H,MATCH($F48,DE_Teams!$A:$A,0)),0),IFERROR(INDEX(DE_Players!$K:$K,MATCH($F48,DE_Players!$A:$A,0)),0)))</f>
        <v/>
      </c>
      <c r="J48">
        <f>IF($F48="","",IF(COUNTIF($F$2:$F$200,$F48)&gt;1,"DUPLICATE",""))</f>
        <v/>
      </c>
    </row>
    <row r="49">
      <c r="B49">
        <f>IFERROR(INDEX(Managers!$B:$B,MATCH(A49,Managers!$A:$A,0)),"")</f>
        <v/>
      </c>
      <c r="C49" t="n">
        <v>8</v>
      </c>
      <c r="D49" t="n">
        <v>6</v>
      </c>
      <c r="E49" t="inlineStr">
        <is>
          <t>Player</t>
        </is>
      </c>
      <c r="G49">
        <f>IF($F49="","",IF($E49="Team",IFERROR(INDEX(DE_Teams!$B:$B,MATCH($F49,DE_Teams!$A:$A,0)),""),IFERROR(INDEX(DE_Players!$B:$B,MATCH($F49,DE_Players!$A:$A,0)),"")))</f>
        <v/>
      </c>
      <c r="H49">
        <f>IF($F49="","",IF($E49="Player",IFERROR(INDEX(DE_Players!$C:$C,MATCH($F49,DE_Players!$A:$A,0)),""),""))</f>
        <v/>
      </c>
      <c r="I49">
        <f>IF($F49="","",IF($E49="Team",IFERROR(INDEX(DE_Teams!$H:$H,MATCH($F49,DE_Teams!$A:$A,0)),0),IFERROR(INDEX(DE_Players!$K:$K,MATCH($F49,DE_Players!$A:$A,0)),0)))</f>
        <v/>
      </c>
      <c r="J49">
        <f>IF($F49="","",IF(COUNTIF($F$2:$F$200,$F49)&gt;1,"DUPLICATE",""))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5" customWidth="1" min="3" max="3"/>
    <col width="17" customWidth="1" min="4" max="4"/>
    <col width="17" customWidth="1" min="5" max="5"/>
    <col width="18" customWidth="1" min="6" max="6"/>
    <col width="1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19" customWidth="1" min="13" max="13"/>
    <col width="17" customWidth="1" min="14" max="14"/>
    <col width="8" customWidth="1" min="15" max="15"/>
    <col width="2" customWidth="1" min="16" max="16"/>
    <col width="15" customWidth="1" min="17" max="17"/>
    <col width="7" customWidth="1" min="18" max="18"/>
    <col width="12" customWidth="1" min="19" max="19"/>
    <col width="50" customWidth="1" min="20" max="20"/>
  </cols>
  <sheetData>
    <row r="1">
      <c r="A1" s="1" t="inlineStr">
        <is>
          <t>Manager_ID</t>
        </is>
      </c>
      <c r="B1" s="1" t="inlineStr">
        <is>
          <t>Manager_Name</t>
        </is>
      </c>
      <c r="C1" s="1" t="inlineStr">
        <is>
          <t>Champion_Pick</t>
        </is>
      </c>
      <c r="D1" s="1" t="inlineStr">
        <is>
          <t>Finalist_1_Pick</t>
        </is>
      </c>
      <c r="E1" s="1" t="inlineStr">
        <is>
          <t>Finalist_2_Pick</t>
        </is>
      </c>
      <c r="F1" s="1" t="inlineStr">
        <is>
          <t>Golden_Boot_Pick</t>
        </is>
      </c>
      <c r="G1" s="1" t="inlineStr">
        <is>
          <t>POT_Pick</t>
        </is>
      </c>
      <c r="H1" s="1" t="inlineStr">
        <is>
          <t>Champion_Pts</t>
        </is>
      </c>
      <c r="I1" s="1" t="inlineStr">
        <is>
          <t>Finalist_1_Pts</t>
        </is>
      </c>
      <c r="J1" s="1" t="inlineStr">
        <is>
          <t>Finalist_2_Pts</t>
        </is>
      </c>
      <c r="K1" s="1" t="inlineStr">
        <is>
          <t>GoldenBoot_Pts</t>
        </is>
      </c>
      <c r="L1" s="1" t="inlineStr">
        <is>
          <t>POT_Pts</t>
        </is>
      </c>
      <c r="M1" s="1" t="inlineStr">
        <is>
          <t>Total_Futures_Pts</t>
        </is>
      </c>
      <c r="N1" s="1" t="inlineStr">
        <is>
          <t>Submission_Time</t>
        </is>
      </c>
      <c r="O1" s="1" t="inlineStr">
        <is>
          <t>Locked</t>
        </is>
      </c>
      <c r="P1" s="1" t="inlineStr"/>
      <c r="Q1" s="1" t="inlineStr">
        <is>
          <t>Actual_Result</t>
        </is>
      </c>
      <c r="R1" s="1" t="inlineStr">
        <is>
          <t>Value</t>
        </is>
      </c>
      <c r="T1" s="3" t="inlineStr">
        <is>
          <t>Commissioner fills Value cells (R2-R6) once the tournament resolves. Two finalists go in R3/R4 (order doesn't matter). Finalist_2_Pts ignores duplicates with Finalist_1.</t>
        </is>
      </c>
    </row>
    <row r="2">
      <c r="A2" t="inlineStr">
        <is>
          <t>M001</t>
        </is>
      </c>
      <c r="B2">
        <f>IFERROR(INDEX(Managers!$B:$B,MATCH(A2,Managers!$A:$A,0)),"")</f>
        <v/>
      </c>
      <c r="H2">
        <f>IF($R$2="",0,IF(C2=$R$2,Scoring_Constants!$B$22,0))</f>
        <v/>
      </c>
      <c r="I2">
        <f>IF(OR($R$3="",$R$4=""),0,IF(OR(D2=$R$3,D2=$R$4),Scoring_Constants!$B$23,0))</f>
        <v/>
      </c>
      <c r="J2">
        <f>IF(OR($R$3="",$R$4=""),0,IF(AND(OR(E2=$R$3,E2=$R$4),E2&lt;&gt;D2),Scoring_Constants!$B$23,0))</f>
        <v/>
      </c>
      <c r="K2">
        <f>IF($R$5="",0,IF(F2=$R$5,Scoring_Constants!$B$24,0))</f>
        <v/>
      </c>
      <c r="L2">
        <f>IF($R$6="",0,IF(G2=$R$6,Scoring_Constants!$B$25,0))</f>
        <v/>
      </c>
      <c r="M2">
        <f>SUM(H2:L2)</f>
        <v/>
      </c>
      <c r="O2" t="b">
        <v>0</v>
      </c>
      <c r="Q2" t="inlineStr">
        <is>
          <t>Champion</t>
        </is>
      </c>
      <c r="R2" t="inlineStr"/>
    </row>
    <row r="3">
      <c r="A3" t="inlineStr">
        <is>
          <t>M002</t>
        </is>
      </c>
      <c r="B3">
        <f>IFERROR(INDEX(Managers!$B:$B,MATCH(A3,Managers!$A:$A,0)),"")</f>
        <v/>
      </c>
      <c r="H3">
        <f>IF($R$2="",0,IF(C3=$R$2,Scoring_Constants!$B$22,0))</f>
        <v/>
      </c>
      <c r="I3">
        <f>IF(OR($R$3="",$R$4=""),0,IF(OR(D3=$R$3,D3=$R$4),Scoring_Constants!$B$23,0))</f>
        <v/>
      </c>
      <c r="J3">
        <f>IF(OR($R$3="",$R$4=""),0,IF(AND(OR(E3=$R$3,E3=$R$4),E3&lt;&gt;D3),Scoring_Constants!$B$23,0))</f>
        <v/>
      </c>
      <c r="K3">
        <f>IF($R$5="",0,IF(F3=$R$5,Scoring_Constants!$B$24,0))</f>
        <v/>
      </c>
      <c r="L3">
        <f>IF($R$6="",0,IF(G3=$R$6,Scoring_Constants!$B$25,0))</f>
        <v/>
      </c>
      <c r="M3">
        <f>SUM(H3:L3)</f>
        <v/>
      </c>
      <c r="O3" t="b">
        <v>0</v>
      </c>
      <c r="Q3" t="inlineStr">
        <is>
          <t>Finalist_A</t>
        </is>
      </c>
      <c r="R3" t="inlineStr"/>
    </row>
    <row r="4">
      <c r="A4" t="inlineStr">
        <is>
          <t>M003</t>
        </is>
      </c>
      <c r="B4">
        <f>IFERROR(INDEX(Managers!$B:$B,MATCH(A4,Managers!$A:$A,0)),"")</f>
        <v/>
      </c>
      <c r="H4">
        <f>IF($R$2="",0,IF(C4=$R$2,Scoring_Constants!$B$22,0))</f>
        <v/>
      </c>
      <c r="I4">
        <f>IF(OR($R$3="",$R$4=""),0,IF(OR(D4=$R$3,D4=$R$4),Scoring_Constants!$B$23,0))</f>
        <v/>
      </c>
      <c r="J4">
        <f>IF(OR($R$3="",$R$4=""),0,IF(AND(OR(E4=$R$3,E4=$R$4),E4&lt;&gt;D4),Scoring_Constants!$B$23,0))</f>
        <v/>
      </c>
      <c r="K4">
        <f>IF($R$5="",0,IF(F4=$R$5,Scoring_Constants!$B$24,0))</f>
        <v/>
      </c>
      <c r="L4">
        <f>IF($R$6="",0,IF(G4=$R$6,Scoring_Constants!$B$25,0))</f>
        <v/>
      </c>
      <c r="M4">
        <f>SUM(H4:L4)</f>
        <v/>
      </c>
      <c r="O4" t="b">
        <v>0</v>
      </c>
      <c r="Q4" t="inlineStr">
        <is>
          <t>Finalist_B</t>
        </is>
      </c>
      <c r="R4" t="inlineStr"/>
    </row>
    <row r="5">
      <c r="A5" t="inlineStr">
        <is>
          <t>M004</t>
        </is>
      </c>
      <c r="B5">
        <f>IFERROR(INDEX(Managers!$B:$B,MATCH(A5,Managers!$A:$A,0)),"")</f>
        <v/>
      </c>
      <c r="H5">
        <f>IF($R$2="",0,IF(C5=$R$2,Scoring_Constants!$B$22,0))</f>
        <v/>
      </c>
      <c r="I5">
        <f>IF(OR($R$3="",$R$4=""),0,IF(OR(D5=$R$3,D5=$R$4),Scoring_Constants!$B$23,0))</f>
        <v/>
      </c>
      <c r="J5">
        <f>IF(OR($R$3="",$R$4=""),0,IF(AND(OR(E5=$R$3,E5=$R$4),E5&lt;&gt;D5),Scoring_Constants!$B$23,0))</f>
        <v/>
      </c>
      <c r="K5">
        <f>IF($R$5="",0,IF(F5=$R$5,Scoring_Constants!$B$24,0))</f>
        <v/>
      </c>
      <c r="L5">
        <f>IF($R$6="",0,IF(G5=$R$6,Scoring_Constants!$B$25,0))</f>
        <v/>
      </c>
      <c r="M5">
        <f>SUM(H5:L5)</f>
        <v/>
      </c>
      <c r="O5" t="b">
        <v>0</v>
      </c>
      <c r="Q5" t="inlineStr">
        <is>
          <t>Golden_Boot</t>
        </is>
      </c>
      <c r="R5" t="inlineStr"/>
    </row>
    <row r="6">
      <c r="A6" t="inlineStr">
        <is>
          <t>M005</t>
        </is>
      </c>
      <c r="B6">
        <f>IFERROR(INDEX(Managers!$B:$B,MATCH(A6,Managers!$A:$A,0)),"")</f>
        <v/>
      </c>
      <c r="H6">
        <f>IF($R$2="",0,IF(C6=$R$2,Scoring_Constants!$B$22,0))</f>
        <v/>
      </c>
      <c r="I6">
        <f>IF(OR($R$3="",$R$4=""),0,IF(OR(D6=$R$3,D6=$R$4),Scoring_Constants!$B$23,0))</f>
        <v/>
      </c>
      <c r="J6">
        <f>IF(OR($R$3="",$R$4=""),0,IF(AND(OR(E6=$R$3,E6=$R$4),E6&lt;&gt;D6),Scoring_Constants!$B$23,0))</f>
        <v/>
      </c>
      <c r="K6">
        <f>IF($R$5="",0,IF(F6=$R$5,Scoring_Constants!$B$24,0))</f>
        <v/>
      </c>
      <c r="L6">
        <f>IF($R$6="",0,IF(G6=$R$6,Scoring_Constants!$B$25,0))</f>
        <v/>
      </c>
      <c r="M6">
        <f>SUM(H6:L6)</f>
        <v/>
      </c>
      <c r="O6" t="b">
        <v>0</v>
      </c>
      <c r="Q6" t="inlineStr">
        <is>
          <t>POT</t>
        </is>
      </c>
      <c r="R6" t="inlineStr"/>
    </row>
    <row r="7">
      <c r="A7" t="inlineStr">
        <is>
          <t>M006</t>
        </is>
      </c>
      <c r="B7">
        <f>IFERROR(INDEX(Managers!$B:$B,MATCH(A7,Managers!$A:$A,0)),"")</f>
        <v/>
      </c>
      <c r="H7">
        <f>IF($R$2="",0,IF(C7=$R$2,Scoring_Constants!$B$22,0))</f>
        <v/>
      </c>
      <c r="I7">
        <f>IF(OR($R$3="",$R$4=""),0,IF(OR(D7=$R$3,D7=$R$4),Scoring_Constants!$B$23,0))</f>
        <v/>
      </c>
      <c r="J7">
        <f>IF(OR($R$3="",$R$4=""),0,IF(AND(OR(E7=$R$3,E7=$R$4),E7&lt;&gt;D7),Scoring_Constants!$B$23,0))</f>
        <v/>
      </c>
      <c r="K7">
        <f>IF($R$5="",0,IF(F7=$R$5,Scoring_Constants!$B$24,0))</f>
        <v/>
      </c>
      <c r="L7">
        <f>IF($R$6="",0,IF(G7=$R$6,Scoring_Constants!$B$25,0))</f>
        <v/>
      </c>
      <c r="M7">
        <f>SUM(H7:L7)</f>
        <v/>
      </c>
      <c r="O7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15" customWidth="1" min="4" max="4"/>
    <col width="15" customWidth="1" min="5" max="5"/>
    <col width="8" customWidth="1" min="6" max="6"/>
    <col width="14" customWidth="1" min="7" max="7"/>
    <col width="8" customWidth="1" min="8" max="8"/>
    <col width="13" customWidth="1" min="9" max="9"/>
    <col width="7" customWidth="1" min="10" max="10"/>
    <col width="12" customWidth="1" min="11" max="11"/>
    <col width="50" customWidth="1" min="12" max="12"/>
  </cols>
  <sheetData>
    <row r="1">
      <c r="A1" s="1" t="inlineStr">
        <is>
          <t>Match_ID</t>
        </is>
      </c>
      <c r="B1" s="1" t="inlineStr">
        <is>
          <t>Stage</t>
        </is>
      </c>
      <c r="C1" s="1" t="inlineStr">
        <is>
          <t>Date</t>
        </is>
      </c>
      <c r="D1" s="1" t="inlineStr">
        <is>
          <t>Team_A</t>
        </is>
      </c>
      <c r="E1" s="1" t="inlineStr">
        <is>
          <t>Team_B</t>
        </is>
      </c>
      <c r="F1" s="1" t="inlineStr">
        <is>
          <t>Winner</t>
        </is>
      </c>
      <c r="G1" s="1" t="inlineStr">
        <is>
          <t>Goal_Scorers</t>
        </is>
      </c>
      <c r="H1" s="1" t="inlineStr">
        <is>
          <t>Length</t>
        </is>
      </c>
      <c r="I1" s="1" t="inlineStr">
        <is>
          <t>Status</t>
        </is>
      </c>
      <c r="J1" s="1" t="inlineStr">
        <is>
          <t>Notes</t>
        </is>
      </c>
      <c r="L1" s="3" t="inlineStr">
        <is>
          <t>Length values: 90 / ET / Pens. Goal_Scorers: comma-separated Player_ID list (e.g. 'P001,P017'). Winner must equal Team_A or Team_B for points to award.</t>
        </is>
      </c>
    </row>
    <row r="2">
      <c r="A2" t="inlineStr">
        <is>
          <t>R32_01</t>
        </is>
      </c>
      <c r="B2" t="inlineStr">
        <is>
          <t>Round of 32</t>
        </is>
      </c>
      <c r="C2" t="inlineStr"/>
      <c r="D2" t="inlineStr"/>
      <c r="E2" t="inlineStr"/>
      <c r="F2" t="inlineStr"/>
      <c r="G2" t="inlineStr"/>
      <c r="H2" t="inlineStr"/>
      <c r="I2" t="inlineStr">
        <is>
          <t>Not Started</t>
        </is>
      </c>
      <c r="J2" t="inlineStr"/>
    </row>
    <row r="3">
      <c r="A3" t="inlineStr">
        <is>
          <t>R32_02</t>
        </is>
      </c>
      <c r="B3" t="inlineStr">
        <is>
          <t>Round of 32</t>
        </is>
      </c>
      <c r="C3" t="inlineStr"/>
      <c r="D3" t="inlineStr"/>
      <c r="E3" t="inlineStr"/>
      <c r="F3" t="inlineStr"/>
      <c r="G3" t="inlineStr"/>
      <c r="H3" t="inlineStr"/>
      <c r="I3" t="inlineStr">
        <is>
          <t>Not Started</t>
        </is>
      </c>
      <c r="J3" t="inlineStr"/>
    </row>
    <row r="4">
      <c r="A4" t="inlineStr">
        <is>
          <t>R32_03</t>
        </is>
      </c>
      <c r="B4" t="inlineStr">
        <is>
          <t>Round of 32</t>
        </is>
      </c>
      <c r="C4" t="inlineStr"/>
      <c r="D4" t="inlineStr"/>
      <c r="E4" t="inlineStr"/>
      <c r="F4" t="inlineStr"/>
      <c r="G4" t="inlineStr"/>
      <c r="H4" t="inlineStr"/>
      <c r="I4" t="inlineStr">
        <is>
          <t>Not Started</t>
        </is>
      </c>
      <c r="J4" t="inlineStr"/>
    </row>
    <row r="5">
      <c r="A5" t="inlineStr">
        <is>
          <t>R32_04</t>
        </is>
      </c>
      <c r="B5" t="inlineStr">
        <is>
          <t>Round of 32</t>
        </is>
      </c>
      <c r="C5" t="inlineStr"/>
      <c r="D5" t="inlineStr"/>
      <c r="E5" t="inlineStr"/>
      <c r="F5" t="inlineStr"/>
      <c r="G5" t="inlineStr"/>
      <c r="H5" t="inlineStr"/>
      <c r="I5" t="inlineStr">
        <is>
          <t>Not Started</t>
        </is>
      </c>
      <c r="J5" t="inlineStr"/>
    </row>
    <row r="6">
      <c r="A6" t="inlineStr">
        <is>
          <t>R32_05</t>
        </is>
      </c>
      <c r="B6" t="inlineStr">
        <is>
          <t>Round of 32</t>
        </is>
      </c>
      <c r="C6" t="inlineStr"/>
      <c r="D6" t="inlineStr"/>
      <c r="E6" t="inlineStr"/>
      <c r="F6" t="inlineStr"/>
      <c r="G6" t="inlineStr"/>
      <c r="H6" t="inlineStr"/>
      <c r="I6" t="inlineStr">
        <is>
          <t>Not Started</t>
        </is>
      </c>
      <c r="J6" t="inlineStr"/>
    </row>
    <row r="7">
      <c r="A7" t="inlineStr">
        <is>
          <t>R32_06</t>
        </is>
      </c>
      <c r="B7" t="inlineStr">
        <is>
          <t>Round of 32</t>
        </is>
      </c>
      <c r="C7" t="inlineStr"/>
      <c r="D7" t="inlineStr"/>
      <c r="E7" t="inlineStr"/>
      <c r="F7" t="inlineStr"/>
      <c r="G7" t="inlineStr"/>
      <c r="H7" t="inlineStr"/>
      <c r="I7" t="inlineStr">
        <is>
          <t>Not Started</t>
        </is>
      </c>
      <c r="J7" t="inlineStr"/>
    </row>
    <row r="8">
      <c r="A8" t="inlineStr">
        <is>
          <t>R32_07</t>
        </is>
      </c>
      <c r="B8" t="inlineStr">
        <is>
          <t>Round of 32</t>
        </is>
      </c>
      <c r="C8" t="inlineStr"/>
      <c r="D8" t="inlineStr"/>
      <c r="E8" t="inlineStr"/>
      <c r="F8" t="inlineStr"/>
      <c r="G8" t="inlineStr"/>
      <c r="H8" t="inlineStr"/>
      <c r="I8" t="inlineStr">
        <is>
          <t>Not Started</t>
        </is>
      </c>
      <c r="J8" t="inlineStr"/>
    </row>
    <row r="9">
      <c r="A9" t="inlineStr">
        <is>
          <t>R32_08</t>
        </is>
      </c>
      <c r="B9" t="inlineStr">
        <is>
          <t>Round of 32</t>
        </is>
      </c>
      <c r="C9" t="inlineStr"/>
      <c r="D9" t="inlineStr"/>
      <c r="E9" t="inlineStr"/>
      <c r="F9" t="inlineStr"/>
      <c r="G9" t="inlineStr"/>
      <c r="H9" t="inlineStr"/>
      <c r="I9" t="inlineStr">
        <is>
          <t>Not Started</t>
        </is>
      </c>
      <c r="J9" t="inlineStr"/>
    </row>
    <row r="10">
      <c r="A10" t="inlineStr">
        <is>
          <t>R32_09</t>
        </is>
      </c>
      <c r="B10" t="inlineStr">
        <is>
          <t>Round of 32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Not Started</t>
        </is>
      </c>
      <c r="J10" t="inlineStr"/>
    </row>
    <row r="11">
      <c r="A11" t="inlineStr">
        <is>
          <t>R32_10</t>
        </is>
      </c>
      <c r="B11" t="inlineStr">
        <is>
          <t>Round of 32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Not Started</t>
        </is>
      </c>
      <c r="J11" t="inlineStr"/>
    </row>
    <row r="12">
      <c r="A12" t="inlineStr">
        <is>
          <t>R32_11</t>
        </is>
      </c>
      <c r="B12" t="inlineStr">
        <is>
          <t>Round of 32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Not Started</t>
        </is>
      </c>
      <c r="J12" t="inlineStr"/>
    </row>
    <row r="13">
      <c r="A13" t="inlineStr">
        <is>
          <t>R32_12</t>
        </is>
      </c>
      <c r="B13" t="inlineStr">
        <is>
          <t>Round of 32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Not Started</t>
        </is>
      </c>
      <c r="J13" t="inlineStr"/>
    </row>
    <row r="14">
      <c r="A14" t="inlineStr">
        <is>
          <t>R32_13</t>
        </is>
      </c>
      <c r="B14" t="inlineStr">
        <is>
          <t>Round of 32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Not Started</t>
        </is>
      </c>
      <c r="J14" t="inlineStr"/>
    </row>
    <row r="15">
      <c r="A15" t="inlineStr">
        <is>
          <t>R32_14</t>
        </is>
      </c>
      <c r="B15" t="inlineStr">
        <is>
          <t>Round of 32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Not Started</t>
        </is>
      </c>
      <c r="J15" t="inlineStr"/>
    </row>
    <row r="16">
      <c r="A16" t="inlineStr">
        <is>
          <t>R32_15</t>
        </is>
      </c>
      <c r="B16" t="inlineStr">
        <is>
          <t>Round of 32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Not Started</t>
        </is>
      </c>
      <c r="J16" t="inlineStr"/>
    </row>
    <row r="17">
      <c r="A17" t="inlineStr">
        <is>
          <t>R32_16</t>
        </is>
      </c>
      <c r="B17" t="inlineStr">
        <is>
          <t>Round of 32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Not Started</t>
        </is>
      </c>
      <c r="J17" t="inlineStr"/>
    </row>
    <row r="18">
      <c r="A18" t="inlineStr">
        <is>
          <t>R16_01</t>
        </is>
      </c>
      <c r="B18" t="inlineStr">
        <is>
          <t>Round of 16</t>
        </is>
      </c>
      <c r="C18" t="inlineStr"/>
      <c r="D18" t="inlineStr">
        <is>
          <t>Winner R32_01</t>
        </is>
      </c>
      <c r="E18" t="inlineStr">
        <is>
          <t>Winner R32_02</t>
        </is>
      </c>
      <c r="F18" t="inlineStr"/>
      <c r="G18" t="inlineStr"/>
      <c r="H18" t="inlineStr"/>
      <c r="I18" t="inlineStr">
        <is>
          <t>Not Started</t>
        </is>
      </c>
      <c r="J18" t="inlineStr"/>
    </row>
    <row r="19">
      <c r="A19" t="inlineStr">
        <is>
          <t>R16_02</t>
        </is>
      </c>
      <c r="B19" t="inlineStr">
        <is>
          <t>Round of 16</t>
        </is>
      </c>
      <c r="C19" t="inlineStr"/>
      <c r="D19" t="inlineStr">
        <is>
          <t>Winner R32_03</t>
        </is>
      </c>
      <c r="E19" t="inlineStr">
        <is>
          <t>Winner R32_04</t>
        </is>
      </c>
      <c r="F19" t="inlineStr"/>
      <c r="G19" t="inlineStr"/>
      <c r="H19" t="inlineStr"/>
      <c r="I19" t="inlineStr">
        <is>
          <t>Not Started</t>
        </is>
      </c>
      <c r="J19" t="inlineStr"/>
    </row>
    <row r="20">
      <c r="A20" t="inlineStr">
        <is>
          <t>R16_03</t>
        </is>
      </c>
      <c r="B20" t="inlineStr">
        <is>
          <t>Round of 16</t>
        </is>
      </c>
      <c r="C20" t="inlineStr"/>
      <c r="D20" t="inlineStr">
        <is>
          <t>Winner R32_05</t>
        </is>
      </c>
      <c r="E20" t="inlineStr">
        <is>
          <t>Winner R32_06</t>
        </is>
      </c>
      <c r="F20" t="inlineStr"/>
      <c r="G20" t="inlineStr"/>
      <c r="H20" t="inlineStr"/>
      <c r="I20" t="inlineStr">
        <is>
          <t>Not Started</t>
        </is>
      </c>
      <c r="J20" t="inlineStr"/>
    </row>
    <row r="21">
      <c r="A21" t="inlineStr">
        <is>
          <t>R16_04</t>
        </is>
      </c>
      <c r="B21" t="inlineStr">
        <is>
          <t>Round of 16</t>
        </is>
      </c>
      <c r="C21" t="inlineStr"/>
      <c r="D21" t="inlineStr">
        <is>
          <t>Winner R32_07</t>
        </is>
      </c>
      <c r="E21" t="inlineStr">
        <is>
          <t>Winner R32_08</t>
        </is>
      </c>
      <c r="F21" t="inlineStr"/>
      <c r="G21" t="inlineStr"/>
      <c r="H21" t="inlineStr"/>
      <c r="I21" t="inlineStr">
        <is>
          <t>Not Started</t>
        </is>
      </c>
      <c r="J21" t="inlineStr"/>
    </row>
    <row r="22">
      <c r="A22" t="inlineStr">
        <is>
          <t>R16_05</t>
        </is>
      </c>
      <c r="B22" t="inlineStr">
        <is>
          <t>Round of 16</t>
        </is>
      </c>
      <c r="C22" t="inlineStr"/>
      <c r="D22" t="inlineStr">
        <is>
          <t>Winner R32_09</t>
        </is>
      </c>
      <c r="E22" t="inlineStr">
        <is>
          <t>Winner R32_10</t>
        </is>
      </c>
      <c r="F22" t="inlineStr"/>
      <c r="G22" t="inlineStr"/>
      <c r="H22" t="inlineStr"/>
      <c r="I22" t="inlineStr">
        <is>
          <t>Not Started</t>
        </is>
      </c>
      <c r="J22" t="inlineStr"/>
    </row>
    <row r="23">
      <c r="A23" t="inlineStr">
        <is>
          <t>R16_06</t>
        </is>
      </c>
      <c r="B23" t="inlineStr">
        <is>
          <t>Round of 16</t>
        </is>
      </c>
      <c r="C23" t="inlineStr"/>
      <c r="D23" t="inlineStr">
        <is>
          <t>Winner R32_11</t>
        </is>
      </c>
      <c r="E23" t="inlineStr">
        <is>
          <t>Winner R32_12</t>
        </is>
      </c>
      <c r="F23" t="inlineStr"/>
      <c r="G23" t="inlineStr"/>
      <c r="H23" t="inlineStr"/>
      <c r="I23" t="inlineStr">
        <is>
          <t>Not Started</t>
        </is>
      </c>
      <c r="J23" t="inlineStr"/>
    </row>
    <row r="24">
      <c r="A24" t="inlineStr">
        <is>
          <t>R16_07</t>
        </is>
      </c>
      <c r="B24" t="inlineStr">
        <is>
          <t>Round of 16</t>
        </is>
      </c>
      <c r="C24" t="inlineStr"/>
      <c r="D24" t="inlineStr">
        <is>
          <t>Winner R32_13</t>
        </is>
      </c>
      <c r="E24" t="inlineStr">
        <is>
          <t>Winner R32_14</t>
        </is>
      </c>
      <c r="F24" t="inlineStr"/>
      <c r="G24" t="inlineStr"/>
      <c r="H24" t="inlineStr"/>
      <c r="I24" t="inlineStr">
        <is>
          <t>Not Started</t>
        </is>
      </c>
      <c r="J24" t="inlineStr"/>
    </row>
    <row r="25">
      <c r="A25" t="inlineStr">
        <is>
          <t>R16_08</t>
        </is>
      </c>
      <c r="B25" t="inlineStr">
        <is>
          <t>Round of 16</t>
        </is>
      </c>
      <c r="C25" t="inlineStr"/>
      <c r="D25" t="inlineStr">
        <is>
          <t>Winner R32_15</t>
        </is>
      </c>
      <c r="E25" t="inlineStr">
        <is>
          <t>Winner R32_16</t>
        </is>
      </c>
      <c r="F25" t="inlineStr"/>
      <c r="G25" t="inlineStr"/>
      <c r="H25" t="inlineStr"/>
      <c r="I25" t="inlineStr">
        <is>
          <t>Not Started</t>
        </is>
      </c>
      <c r="J25" t="inlineStr"/>
    </row>
    <row r="26">
      <c r="A26" t="inlineStr">
        <is>
          <t>QF_01</t>
        </is>
      </c>
      <c r="B26" t="inlineStr">
        <is>
          <t>Quarterfinal</t>
        </is>
      </c>
      <c r="C26" t="inlineStr"/>
      <c r="D26" t="inlineStr">
        <is>
          <t>Winner R16_01</t>
        </is>
      </c>
      <c r="E26" t="inlineStr">
        <is>
          <t>Winner R16_02</t>
        </is>
      </c>
      <c r="F26" t="inlineStr"/>
      <c r="G26" t="inlineStr"/>
      <c r="H26" t="inlineStr"/>
      <c r="I26" t="inlineStr">
        <is>
          <t>Not Started</t>
        </is>
      </c>
      <c r="J26" t="inlineStr"/>
    </row>
    <row r="27">
      <c r="A27" t="inlineStr">
        <is>
          <t>QF_02</t>
        </is>
      </c>
      <c r="B27" t="inlineStr">
        <is>
          <t>Quarterfinal</t>
        </is>
      </c>
      <c r="C27" t="inlineStr"/>
      <c r="D27" t="inlineStr">
        <is>
          <t>Winner R16_03</t>
        </is>
      </c>
      <c r="E27" t="inlineStr">
        <is>
          <t>Winner R16_04</t>
        </is>
      </c>
      <c r="F27" t="inlineStr"/>
      <c r="G27" t="inlineStr"/>
      <c r="H27" t="inlineStr"/>
      <c r="I27" t="inlineStr">
        <is>
          <t>Not Started</t>
        </is>
      </c>
      <c r="J27" t="inlineStr"/>
    </row>
    <row r="28">
      <c r="A28" t="inlineStr">
        <is>
          <t>QF_03</t>
        </is>
      </c>
      <c r="B28" t="inlineStr">
        <is>
          <t>Quarterfinal</t>
        </is>
      </c>
      <c r="C28" t="inlineStr"/>
      <c r="D28" t="inlineStr">
        <is>
          <t>Winner R16_05</t>
        </is>
      </c>
      <c r="E28" t="inlineStr">
        <is>
          <t>Winner R16_06</t>
        </is>
      </c>
      <c r="F28" t="inlineStr"/>
      <c r="G28" t="inlineStr"/>
      <c r="H28" t="inlineStr"/>
      <c r="I28" t="inlineStr">
        <is>
          <t>Not Started</t>
        </is>
      </c>
      <c r="J28" t="inlineStr"/>
    </row>
    <row r="29">
      <c r="A29" t="inlineStr">
        <is>
          <t>QF_04</t>
        </is>
      </c>
      <c r="B29" t="inlineStr">
        <is>
          <t>Quarterfinal</t>
        </is>
      </c>
      <c r="C29" t="inlineStr"/>
      <c r="D29" t="inlineStr">
        <is>
          <t>Winner R16_07</t>
        </is>
      </c>
      <c r="E29" t="inlineStr">
        <is>
          <t>Winner R16_08</t>
        </is>
      </c>
      <c r="F29" t="inlineStr"/>
      <c r="G29" t="inlineStr"/>
      <c r="H29" t="inlineStr"/>
      <c r="I29" t="inlineStr">
        <is>
          <t>Not Started</t>
        </is>
      </c>
      <c r="J29" t="inlineStr"/>
    </row>
    <row r="30">
      <c r="A30" t="inlineStr">
        <is>
          <t>SF_01</t>
        </is>
      </c>
      <c r="B30" t="inlineStr">
        <is>
          <t>Semifinal</t>
        </is>
      </c>
      <c r="C30" t="inlineStr"/>
      <c r="D30" t="inlineStr">
        <is>
          <t>Winner QF_01</t>
        </is>
      </c>
      <c r="E30" t="inlineStr">
        <is>
          <t>Winner QF_02</t>
        </is>
      </c>
      <c r="F30" t="inlineStr"/>
      <c r="G30" t="inlineStr"/>
      <c r="H30" t="inlineStr"/>
      <c r="I30" t="inlineStr">
        <is>
          <t>Not Started</t>
        </is>
      </c>
      <c r="J30" t="inlineStr"/>
    </row>
    <row r="31">
      <c r="A31" t="inlineStr">
        <is>
          <t>SF_02</t>
        </is>
      </c>
      <c r="B31" t="inlineStr">
        <is>
          <t>Semifinal</t>
        </is>
      </c>
      <c r="C31" t="inlineStr"/>
      <c r="D31" t="inlineStr">
        <is>
          <t>Winner QF_03</t>
        </is>
      </c>
      <c r="E31" t="inlineStr">
        <is>
          <t>Winner QF_04</t>
        </is>
      </c>
      <c r="F31" t="inlineStr"/>
      <c r="G31" t="inlineStr"/>
      <c r="H31" t="inlineStr"/>
      <c r="I31" t="inlineStr">
        <is>
          <t>Not Started</t>
        </is>
      </c>
      <c r="J31" t="inlineStr"/>
    </row>
    <row r="32">
      <c r="A32" t="inlineStr">
        <is>
          <t>F_01</t>
        </is>
      </c>
      <c r="B32" t="inlineStr">
        <is>
          <t>Final</t>
        </is>
      </c>
      <c r="C32" t="inlineStr"/>
      <c r="D32" t="inlineStr">
        <is>
          <t>Winner SF_01</t>
        </is>
      </c>
      <c r="E32" t="inlineStr">
        <is>
          <t>Winner SF_02</t>
        </is>
      </c>
      <c r="F32" t="inlineStr"/>
      <c r="G32" t="inlineStr"/>
      <c r="H32" t="inlineStr"/>
      <c r="I32" t="inlineStr">
        <is>
          <t>Not Started</t>
        </is>
      </c>
      <c r="J3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87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0" customWidth="1" min="3" max="3"/>
    <col width="50" customWidth="1" min="4" max="4"/>
    <col width="13" customWidth="1" min="5" max="5"/>
    <col width="15" customWidth="1" min="6" max="6"/>
    <col width="15" customWidth="1" min="7" max="7"/>
    <col width="13" customWidth="1" min="8" max="8"/>
    <col width="50" customWidth="1" min="9" max="9"/>
    <col width="50" customWidth="1" min="10" max="10"/>
    <col width="50" customWidth="1" min="11" max="11"/>
    <col width="50" customWidth="1" min="12" max="12"/>
    <col width="17" customWidth="1" min="13" max="13"/>
    <col width="17" customWidth="1" min="14" max="14"/>
    <col width="8" customWidth="1" min="15" max="15"/>
    <col width="12" customWidth="1" min="16" max="16"/>
    <col width="50" customWidth="1" min="17" max="17"/>
  </cols>
  <sheetData>
    <row r="1">
      <c r="A1" s="1" t="inlineStr">
        <is>
          <t>Manager_ID</t>
        </is>
      </c>
      <c r="B1" s="1" t="inlineStr">
        <is>
          <t>Manager_Name</t>
        </is>
      </c>
      <c r="C1" s="1" t="inlineStr">
        <is>
          <t>Match_ID</t>
        </is>
      </c>
      <c r="D1" s="1" t="inlineStr">
        <is>
          <t>Stage</t>
        </is>
      </c>
      <c r="E1" s="1" t="inlineStr">
        <is>
          <t>Winner_Pick</t>
        </is>
      </c>
      <c r="F1" s="1" t="inlineStr">
        <is>
          <t>Scorer_1_Pick</t>
        </is>
      </c>
      <c r="G1" s="1" t="inlineStr">
        <is>
          <t>Scorer_2_Pick</t>
        </is>
      </c>
      <c r="H1" s="1" t="inlineStr">
        <is>
          <t>Length_Pick</t>
        </is>
      </c>
      <c r="I1" s="1" t="inlineStr">
        <is>
          <t>Winner_Pts</t>
        </is>
      </c>
      <c r="J1" s="1" t="inlineStr">
        <is>
          <t>Scorer_1_Pts</t>
        </is>
      </c>
      <c r="K1" s="1" t="inlineStr">
        <is>
          <t>Scorer_2_Pts</t>
        </is>
      </c>
      <c r="L1" s="1" t="inlineStr">
        <is>
          <t>Length_Pts</t>
        </is>
      </c>
      <c r="M1" s="1" t="inlineStr">
        <is>
          <t>Total_Points</t>
        </is>
      </c>
      <c r="N1" s="1" t="inlineStr">
        <is>
          <t>Submission_Time</t>
        </is>
      </c>
      <c r="O1" s="1" t="inlineStr">
        <is>
          <t>Locked</t>
        </is>
      </c>
      <c r="Q1" s="3" t="inlineStr">
        <is>
          <t>Scorer_2 doesn't double-count if a manager enters the same player in both slots. Length values: 90 / ET / Pens.</t>
        </is>
      </c>
    </row>
    <row r="2">
      <c r="A2" t="inlineStr">
        <is>
          <t>M001</t>
        </is>
      </c>
      <c r="B2">
        <f>IFERROR(INDEX(Managers!$B:$B,MATCH(A2,Managers!$A:$A,0)),"")</f>
        <v/>
      </c>
      <c r="C2" t="inlineStr">
        <is>
          <t>R32_01</t>
        </is>
      </c>
      <c r="D2">
        <f>IFERROR(INDEX(Matches_2!$B:$B,MATCH(C2,Matches_2!$A:$A,0)),"")</f>
        <v/>
      </c>
      <c r="I2">
        <f>IF(OR(E2="",IFERROR(INDEX(Matches_2!$F:$F,MATCH(C2,Matches_2!$A:$A,0)),"")=""),0,IF(E2=IFERROR(INDEX(Matches_2!$F:$F,MATCH(C2,Matches_2!$A:$A,0)),""),Scoring_Constants!$B$6,0))</f>
        <v/>
      </c>
      <c r="J2">
        <f>IF(OR(F2="",IFERROR(INDEX(Matches_2!$G:$G,MATCH(C2,Matches_2!$A:$A,0)),"")=""),0,IF(ISNUMBER(SEARCH(F2,IFERROR(INDEX(Matches_2!$G:$G,MATCH(C2,Matches_2!$A:$A,0)),""))),Scoring_Constants!$B$7,0))</f>
        <v/>
      </c>
      <c r="K2">
        <f>IF(OR(G2="",IFERROR(INDEX(Matches_2!$G:$G,MATCH(C2,Matches_2!$A:$A,0)),"")=""),0,IF(AND(ISNUMBER(SEARCH(G2,IFERROR(INDEX(Matches_2!$G:$G,MATCH(C2,Matches_2!$A:$A,0)),""))),G2&lt;&gt;F2),Scoring_Constants!$B$7,0))</f>
        <v/>
      </c>
      <c r="L2">
        <f>IF(OR(H2="",IFERROR(INDEX(Matches_2!$H:$H,MATCH(C2,Matches_2!$A:$A,0)),"")=""),0,IF(H2=IFERROR(INDEX(Matches_2!$H:$H,MATCH(C2,Matches_2!$A:$A,0)),""),Scoring_Constants!$B$8,0))</f>
        <v/>
      </c>
      <c r="M2">
        <f>SUM(I2:L2)</f>
        <v/>
      </c>
      <c r="O2" t="b">
        <v>0</v>
      </c>
    </row>
    <row r="3">
      <c r="A3" t="inlineStr">
        <is>
          <t>M001</t>
        </is>
      </c>
      <c r="B3">
        <f>IFERROR(INDEX(Managers!$B:$B,MATCH(A3,Managers!$A:$A,0)),"")</f>
        <v/>
      </c>
      <c r="C3" t="inlineStr">
        <is>
          <t>R32_02</t>
        </is>
      </c>
      <c r="D3">
        <f>IFERROR(INDEX(Matches_2!$B:$B,MATCH(C3,Matches_2!$A:$A,0)),"")</f>
        <v/>
      </c>
      <c r="I3">
        <f>IF(OR(E3="",IFERROR(INDEX(Matches_2!$F:$F,MATCH(C3,Matches_2!$A:$A,0)),"")=""),0,IF(E3=IFERROR(INDEX(Matches_2!$F:$F,MATCH(C3,Matches_2!$A:$A,0)),""),Scoring_Constants!$B$6,0))</f>
        <v/>
      </c>
      <c r="J3">
        <f>IF(OR(F3="",IFERROR(INDEX(Matches_2!$G:$G,MATCH(C3,Matches_2!$A:$A,0)),"")=""),0,IF(ISNUMBER(SEARCH(F3,IFERROR(INDEX(Matches_2!$G:$G,MATCH(C3,Matches_2!$A:$A,0)),""))),Scoring_Constants!$B$7,0))</f>
        <v/>
      </c>
      <c r="K3">
        <f>IF(OR(G3="",IFERROR(INDEX(Matches_2!$G:$G,MATCH(C3,Matches_2!$A:$A,0)),"")=""),0,IF(AND(ISNUMBER(SEARCH(G3,IFERROR(INDEX(Matches_2!$G:$G,MATCH(C3,Matches_2!$A:$A,0)),""))),G3&lt;&gt;F3),Scoring_Constants!$B$7,0))</f>
        <v/>
      </c>
      <c r="L3">
        <f>IF(OR(H3="",IFERROR(INDEX(Matches_2!$H:$H,MATCH(C3,Matches_2!$A:$A,0)),"")=""),0,IF(H3=IFERROR(INDEX(Matches_2!$H:$H,MATCH(C3,Matches_2!$A:$A,0)),""),Scoring_Constants!$B$8,0))</f>
        <v/>
      </c>
      <c r="M3">
        <f>SUM(I3:L3)</f>
        <v/>
      </c>
      <c r="O3" t="b">
        <v>0</v>
      </c>
    </row>
    <row r="4">
      <c r="A4" t="inlineStr">
        <is>
          <t>M001</t>
        </is>
      </c>
      <c r="B4">
        <f>IFERROR(INDEX(Managers!$B:$B,MATCH(A4,Managers!$A:$A,0)),"")</f>
        <v/>
      </c>
      <c r="C4" t="inlineStr">
        <is>
          <t>R32_03</t>
        </is>
      </c>
      <c r="D4">
        <f>IFERROR(INDEX(Matches_2!$B:$B,MATCH(C4,Matches_2!$A:$A,0)),"")</f>
        <v/>
      </c>
      <c r="I4">
        <f>IF(OR(E4="",IFERROR(INDEX(Matches_2!$F:$F,MATCH(C4,Matches_2!$A:$A,0)),"")=""),0,IF(E4=IFERROR(INDEX(Matches_2!$F:$F,MATCH(C4,Matches_2!$A:$A,0)),""),Scoring_Constants!$B$6,0))</f>
        <v/>
      </c>
      <c r="J4">
        <f>IF(OR(F4="",IFERROR(INDEX(Matches_2!$G:$G,MATCH(C4,Matches_2!$A:$A,0)),"")=""),0,IF(ISNUMBER(SEARCH(F4,IFERROR(INDEX(Matches_2!$G:$G,MATCH(C4,Matches_2!$A:$A,0)),""))),Scoring_Constants!$B$7,0))</f>
        <v/>
      </c>
      <c r="K4">
        <f>IF(OR(G4="",IFERROR(INDEX(Matches_2!$G:$G,MATCH(C4,Matches_2!$A:$A,0)),"")=""),0,IF(AND(ISNUMBER(SEARCH(G4,IFERROR(INDEX(Matches_2!$G:$G,MATCH(C4,Matches_2!$A:$A,0)),""))),G4&lt;&gt;F4),Scoring_Constants!$B$7,0))</f>
        <v/>
      </c>
      <c r="L4">
        <f>IF(OR(H4="",IFERROR(INDEX(Matches_2!$H:$H,MATCH(C4,Matches_2!$A:$A,0)),"")=""),0,IF(H4=IFERROR(INDEX(Matches_2!$H:$H,MATCH(C4,Matches_2!$A:$A,0)),""),Scoring_Constants!$B$8,0))</f>
        <v/>
      </c>
      <c r="M4">
        <f>SUM(I4:L4)</f>
        <v/>
      </c>
      <c r="O4" t="b">
        <v>0</v>
      </c>
    </row>
    <row r="5">
      <c r="A5" t="inlineStr">
        <is>
          <t>M001</t>
        </is>
      </c>
      <c r="B5">
        <f>IFERROR(INDEX(Managers!$B:$B,MATCH(A5,Managers!$A:$A,0)),"")</f>
        <v/>
      </c>
      <c r="C5" t="inlineStr">
        <is>
          <t>R32_04</t>
        </is>
      </c>
      <c r="D5">
        <f>IFERROR(INDEX(Matches_2!$B:$B,MATCH(C5,Matches_2!$A:$A,0)),"")</f>
        <v/>
      </c>
      <c r="I5">
        <f>IF(OR(E5="",IFERROR(INDEX(Matches_2!$F:$F,MATCH(C5,Matches_2!$A:$A,0)),"")=""),0,IF(E5=IFERROR(INDEX(Matches_2!$F:$F,MATCH(C5,Matches_2!$A:$A,0)),""),Scoring_Constants!$B$6,0))</f>
        <v/>
      </c>
      <c r="J5">
        <f>IF(OR(F5="",IFERROR(INDEX(Matches_2!$G:$G,MATCH(C5,Matches_2!$A:$A,0)),"")=""),0,IF(ISNUMBER(SEARCH(F5,IFERROR(INDEX(Matches_2!$G:$G,MATCH(C5,Matches_2!$A:$A,0)),""))),Scoring_Constants!$B$7,0))</f>
        <v/>
      </c>
      <c r="K5">
        <f>IF(OR(G5="",IFERROR(INDEX(Matches_2!$G:$G,MATCH(C5,Matches_2!$A:$A,0)),"")=""),0,IF(AND(ISNUMBER(SEARCH(G5,IFERROR(INDEX(Matches_2!$G:$G,MATCH(C5,Matches_2!$A:$A,0)),""))),G5&lt;&gt;F5),Scoring_Constants!$B$7,0))</f>
        <v/>
      </c>
      <c r="L5">
        <f>IF(OR(H5="",IFERROR(INDEX(Matches_2!$H:$H,MATCH(C5,Matches_2!$A:$A,0)),"")=""),0,IF(H5=IFERROR(INDEX(Matches_2!$H:$H,MATCH(C5,Matches_2!$A:$A,0)),""),Scoring_Constants!$B$8,0))</f>
        <v/>
      </c>
      <c r="M5">
        <f>SUM(I5:L5)</f>
        <v/>
      </c>
      <c r="O5" t="b">
        <v>0</v>
      </c>
    </row>
    <row r="6">
      <c r="A6" t="inlineStr">
        <is>
          <t>M001</t>
        </is>
      </c>
      <c r="B6">
        <f>IFERROR(INDEX(Managers!$B:$B,MATCH(A6,Managers!$A:$A,0)),"")</f>
        <v/>
      </c>
      <c r="C6" t="inlineStr">
        <is>
          <t>R32_05</t>
        </is>
      </c>
      <c r="D6">
        <f>IFERROR(INDEX(Matches_2!$B:$B,MATCH(C6,Matches_2!$A:$A,0)),"")</f>
        <v/>
      </c>
      <c r="I6">
        <f>IF(OR(E6="",IFERROR(INDEX(Matches_2!$F:$F,MATCH(C6,Matches_2!$A:$A,0)),"")=""),0,IF(E6=IFERROR(INDEX(Matches_2!$F:$F,MATCH(C6,Matches_2!$A:$A,0)),""),Scoring_Constants!$B$6,0))</f>
        <v/>
      </c>
      <c r="J6">
        <f>IF(OR(F6="",IFERROR(INDEX(Matches_2!$G:$G,MATCH(C6,Matches_2!$A:$A,0)),"")=""),0,IF(ISNUMBER(SEARCH(F6,IFERROR(INDEX(Matches_2!$G:$G,MATCH(C6,Matches_2!$A:$A,0)),""))),Scoring_Constants!$B$7,0))</f>
        <v/>
      </c>
      <c r="K6">
        <f>IF(OR(G6="",IFERROR(INDEX(Matches_2!$G:$G,MATCH(C6,Matches_2!$A:$A,0)),"")=""),0,IF(AND(ISNUMBER(SEARCH(G6,IFERROR(INDEX(Matches_2!$G:$G,MATCH(C6,Matches_2!$A:$A,0)),""))),G6&lt;&gt;F6),Scoring_Constants!$B$7,0))</f>
        <v/>
      </c>
      <c r="L6">
        <f>IF(OR(H6="",IFERROR(INDEX(Matches_2!$H:$H,MATCH(C6,Matches_2!$A:$A,0)),"")=""),0,IF(H6=IFERROR(INDEX(Matches_2!$H:$H,MATCH(C6,Matches_2!$A:$A,0)),""),Scoring_Constants!$B$8,0))</f>
        <v/>
      </c>
      <c r="M6">
        <f>SUM(I6:L6)</f>
        <v/>
      </c>
      <c r="O6" t="b">
        <v>0</v>
      </c>
    </row>
    <row r="7">
      <c r="A7" t="inlineStr">
        <is>
          <t>M001</t>
        </is>
      </c>
      <c r="B7">
        <f>IFERROR(INDEX(Managers!$B:$B,MATCH(A7,Managers!$A:$A,0)),"")</f>
        <v/>
      </c>
      <c r="C7" t="inlineStr">
        <is>
          <t>R32_06</t>
        </is>
      </c>
      <c r="D7">
        <f>IFERROR(INDEX(Matches_2!$B:$B,MATCH(C7,Matches_2!$A:$A,0)),"")</f>
        <v/>
      </c>
      <c r="I7">
        <f>IF(OR(E7="",IFERROR(INDEX(Matches_2!$F:$F,MATCH(C7,Matches_2!$A:$A,0)),"")=""),0,IF(E7=IFERROR(INDEX(Matches_2!$F:$F,MATCH(C7,Matches_2!$A:$A,0)),""),Scoring_Constants!$B$6,0))</f>
        <v/>
      </c>
      <c r="J7">
        <f>IF(OR(F7="",IFERROR(INDEX(Matches_2!$G:$G,MATCH(C7,Matches_2!$A:$A,0)),"")=""),0,IF(ISNUMBER(SEARCH(F7,IFERROR(INDEX(Matches_2!$G:$G,MATCH(C7,Matches_2!$A:$A,0)),""))),Scoring_Constants!$B$7,0))</f>
        <v/>
      </c>
      <c r="K7">
        <f>IF(OR(G7="",IFERROR(INDEX(Matches_2!$G:$G,MATCH(C7,Matches_2!$A:$A,0)),"")=""),0,IF(AND(ISNUMBER(SEARCH(G7,IFERROR(INDEX(Matches_2!$G:$G,MATCH(C7,Matches_2!$A:$A,0)),""))),G7&lt;&gt;F7),Scoring_Constants!$B$7,0))</f>
        <v/>
      </c>
      <c r="L7">
        <f>IF(OR(H7="",IFERROR(INDEX(Matches_2!$H:$H,MATCH(C7,Matches_2!$A:$A,0)),"")=""),0,IF(H7=IFERROR(INDEX(Matches_2!$H:$H,MATCH(C7,Matches_2!$A:$A,0)),""),Scoring_Constants!$B$8,0))</f>
        <v/>
      </c>
      <c r="M7">
        <f>SUM(I7:L7)</f>
        <v/>
      </c>
      <c r="O7" t="b">
        <v>0</v>
      </c>
    </row>
    <row r="8">
      <c r="A8" t="inlineStr">
        <is>
          <t>M001</t>
        </is>
      </c>
      <c r="B8">
        <f>IFERROR(INDEX(Managers!$B:$B,MATCH(A8,Managers!$A:$A,0)),"")</f>
        <v/>
      </c>
      <c r="C8" t="inlineStr">
        <is>
          <t>R32_07</t>
        </is>
      </c>
      <c r="D8">
        <f>IFERROR(INDEX(Matches_2!$B:$B,MATCH(C8,Matches_2!$A:$A,0)),"")</f>
        <v/>
      </c>
      <c r="I8">
        <f>IF(OR(E8="",IFERROR(INDEX(Matches_2!$F:$F,MATCH(C8,Matches_2!$A:$A,0)),"")=""),0,IF(E8=IFERROR(INDEX(Matches_2!$F:$F,MATCH(C8,Matches_2!$A:$A,0)),""),Scoring_Constants!$B$6,0))</f>
        <v/>
      </c>
      <c r="J8">
        <f>IF(OR(F8="",IFERROR(INDEX(Matches_2!$G:$G,MATCH(C8,Matches_2!$A:$A,0)),"")=""),0,IF(ISNUMBER(SEARCH(F8,IFERROR(INDEX(Matches_2!$G:$G,MATCH(C8,Matches_2!$A:$A,0)),""))),Scoring_Constants!$B$7,0))</f>
        <v/>
      </c>
      <c r="K8">
        <f>IF(OR(G8="",IFERROR(INDEX(Matches_2!$G:$G,MATCH(C8,Matches_2!$A:$A,0)),"")=""),0,IF(AND(ISNUMBER(SEARCH(G8,IFERROR(INDEX(Matches_2!$G:$G,MATCH(C8,Matches_2!$A:$A,0)),""))),G8&lt;&gt;F8),Scoring_Constants!$B$7,0))</f>
        <v/>
      </c>
      <c r="L8">
        <f>IF(OR(H8="",IFERROR(INDEX(Matches_2!$H:$H,MATCH(C8,Matches_2!$A:$A,0)),"")=""),0,IF(H8=IFERROR(INDEX(Matches_2!$H:$H,MATCH(C8,Matches_2!$A:$A,0)),""),Scoring_Constants!$B$8,0))</f>
        <v/>
      </c>
      <c r="M8">
        <f>SUM(I8:L8)</f>
        <v/>
      </c>
      <c r="O8" t="b">
        <v>0</v>
      </c>
    </row>
    <row r="9">
      <c r="A9" t="inlineStr">
        <is>
          <t>M001</t>
        </is>
      </c>
      <c r="B9">
        <f>IFERROR(INDEX(Managers!$B:$B,MATCH(A9,Managers!$A:$A,0)),"")</f>
        <v/>
      </c>
      <c r="C9" t="inlineStr">
        <is>
          <t>R32_08</t>
        </is>
      </c>
      <c r="D9">
        <f>IFERROR(INDEX(Matches_2!$B:$B,MATCH(C9,Matches_2!$A:$A,0)),"")</f>
        <v/>
      </c>
      <c r="I9">
        <f>IF(OR(E9="",IFERROR(INDEX(Matches_2!$F:$F,MATCH(C9,Matches_2!$A:$A,0)),"")=""),0,IF(E9=IFERROR(INDEX(Matches_2!$F:$F,MATCH(C9,Matches_2!$A:$A,0)),""),Scoring_Constants!$B$6,0))</f>
        <v/>
      </c>
      <c r="J9">
        <f>IF(OR(F9="",IFERROR(INDEX(Matches_2!$G:$G,MATCH(C9,Matches_2!$A:$A,0)),"")=""),0,IF(ISNUMBER(SEARCH(F9,IFERROR(INDEX(Matches_2!$G:$G,MATCH(C9,Matches_2!$A:$A,0)),""))),Scoring_Constants!$B$7,0))</f>
        <v/>
      </c>
      <c r="K9">
        <f>IF(OR(G9="",IFERROR(INDEX(Matches_2!$G:$G,MATCH(C9,Matches_2!$A:$A,0)),"")=""),0,IF(AND(ISNUMBER(SEARCH(G9,IFERROR(INDEX(Matches_2!$G:$G,MATCH(C9,Matches_2!$A:$A,0)),""))),G9&lt;&gt;F9),Scoring_Constants!$B$7,0))</f>
        <v/>
      </c>
      <c r="L9">
        <f>IF(OR(H9="",IFERROR(INDEX(Matches_2!$H:$H,MATCH(C9,Matches_2!$A:$A,0)),"")=""),0,IF(H9=IFERROR(INDEX(Matches_2!$H:$H,MATCH(C9,Matches_2!$A:$A,0)),""),Scoring_Constants!$B$8,0))</f>
        <v/>
      </c>
      <c r="M9">
        <f>SUM(I9:L9)</f>
        <v/>
      </c>
      <c r="O9" t="b">
        <v>0</v>
      </c>
    </row>
    <row r="10">
      <c r="A10" t="inlineStr">
        <is>
          <t>M001</t>
        </is>
      </c>
      <c r="B10">
        <f>IFERROR(INDEX(Managers!$B:$B,MATCH(A10,Managers!$A:$A,0)),"")</f>
        <v/>
      </c>
      <c r="C10" t="inlineStr">
        <is>
          <t>R32_09</t>
        </is>
      </c>
      <c r="D10">
        <f>IFERROR(INDEX(Matches_2!$B:$B,MATCH(C10,Matches_2!$A:$A,0)),"")</f>
        <v/>
      </c>
      <c r="I10">
        <f>IF(OR(E10="",IFERROR(INDEX(Matches_2!$F:$F,MATCH(C10,Matches_2!$A:$A,0)),"")=""),0,IF(E10=IFERROR(INDEX(Matches_2!$F:$F,MATCH(C10,Matches_2!$A:$A,0)),""),Scoring_Constants!$B$6,0))</f>
        <v/>
      </c>
      <c r="J10">
        <f>IF(OR(F10="",IFERROR(INDEX(Matches_2!$G:$G,MATCH(C10,Matches_2!$A:$A,0)),"")=""),0,IF(ISNUMBER(SEARCH(F10,IFERROR(INDEX(Matches_2!$G:$G,MATCH(C10,Matches_2!$A:$A,0)),""))),Scoring_Constants!$B$7,0))</f>
        <v/>
      </c>
      <c r="K10">
        <f>IF(OR(G10="",IFERROR(INDEX(Matches_2!$G:$G,MATCH(C10,Matches_2!$A:$A,0)),"")=""),0,IF(AND(ISNUMBER(SEARCH(G10,IFERROR(INDEX(Matches_2!$G:$G,MATCH(C10,Matches_2!$A:$A,0)),""))),G10&lt;&gt;F10),Scoring_Constants!$B$7,0))</f>
        <v/>
      </c>
      <c r="L10">
        <f>IF(OR(H10="",IFERROR(INDEX(Matches_2!$H:$H,MATCH(C10,Matches_2!$A:$A,0)),"")=""),0,IF(H10=IFERROR(INDEX(Matches_2!$H:$H,MATCH(C10,Matches_2!$A:$A,0)),""),Scoring_Constants!$B$8,0))</f>
        <v/>
      </c>
      <c r="M10">
        <f>SUM(I10:L10)</f>
        <v/>
      </c>
      <c r="O10" t="b">
        <v>0</v>
      </c>
    </row>
    <row r="11">
      <c r="A11" t="inlineStr">
        <is>
          <t>M001</t>
        </is>
      </c>
      <c r="B11">
        <f>IFERROR(INDEX(Managers!$B:$B,MATCH(A11,Managers!$A:$A,0)),"")</f>
        <v/>
      </c>
      <c r="C11" t="inlineStr">
        <is>
          <t>R32_10</t>
        </is>
      </c>
      <c r="D11">
        <f>IFERROR(INDEX(Matches_2!$B:$B,MATCH(C11,Matches_2!$A:$A,0)),"")</f>
        <v/>
      </c>
      <c r="I11">
        <f>IF(OR(E11="",IFERROR(INDEX(Matches_2!$F:$F,MATCH(C11,Matches_2!$A:$A,0)),"")=""),0,IF(E11=IFERROR(INDEX(Matches_2!$F:$F,MATCH(C11,Matches_2!$A:$A,0)),""),Scoring_Constants!$B$6,0))</f>
        <v/>
      </c>
      <c r="J11">
        <f>IF(OR(F11="",IFERROR(INDEX(Matches_2!$G:$G,MATCH(C11,Matches_2!$A:$A,0)),"")=""),0,IF(ISNUMBER(SEARCH(F11,IFERROR(INDEX(Matches_2!$G:$G,MATCH(C11,Matches_2!$A:$A,0)),""))),Scoring_Constants!$B$7,0))</f>
        <v/>
      </c>
      <c r="K11">
        <f>IF(OR(G11="",IFERROR(INDEX(Matches_2!$G:$G,MATCH(C11,Matches_2!$A:$A,0)),"")=""),0,IF(AND(ISNUMBER(SEARCH(G11,IFERROR(INDEX(Matches_2!$G:$G,MATCH(C11,Matches_2!$A:$A,0)),""))),G11&lt;&gt;F11),Scoring_Constants!$B$7,0))</f>
        <v/>
      </c>
      <c r="L11">
        <f>IF(OR(H11="",IFERROR(INDEX(Matches_2!$H:$H,MATCH(C11,Matches_2!$A:$A,0)),"")=""),0,IF(H11=IFERROR(INDEX(Matches_2!$H:$H,MATCH(C11,Matches_2!$A:$A,0)),""),Scoring_Constants!$B$8,0))</f>
        <v/>
      </c>
      <c r="M11">
        <f>SUM(I11:L11)</f>
        <v/>
      </c>
      <c r="O11" t="b">
        <v>0</v>
      </c>
    </row>
    <row r="12">
      <c r="A12" t="inlineStr">
        <is>
          <t>M001</t>
        </is>
      </c>
      <c r="B12">
        <f>IFERROR(INDEX(Managers!$B:$B,MATCH(A12,Managers!$A:$A,0)),"")</f>
        <v/>
      </c>
      <c r="C12" t="inlineStr">
        <is>
          <t>R32_11</t>
        </is>
      </c>
      <c r="D12">
        <f>IFERROR(INDEX(Matches_2!$B:$B,MATCH(C12,Matches_2!$A:$A,0)),"")</f>
        <v/>
      </c>
      <c r="I12">
        <f>IF(OR(E12="",IFERROR(INDEX(Matches_2!$F:$F,MATCH(C12,Matches_2!$A:$A,0)),"")=""),0,IF(E12=IFERROR(INDEX(Matches_2!$F:$F,MATCH(C12,Matches_2!$A:$A,0)),""),Scoring_Constants!$B$6,0))</f>
        <v/>
      </c>
      <c r="J12">
        <f>IF(OR(F12="",IFERROR(INDEX(Matches_2!$G:$G,MATCH(C12,Matches_2!$A:$A,0)),"")=""),0,IF(ISNUMBER(SEARCH(F12,IFERROR(INDEX(Matches_2!$G:$G,MATCH(C12,Matches_2!$A:$A,0)),""))),Scoring_Constants!$B$7,0))</f>
        <v/>
      </c>
      <c r="K12">
        <f>IF(OR(G12="",IFERROR(INDEX(Matches_2!$G:$G,MATCH(C12,Matches_2!$A:$A,0)),"")=""),0,IF(AND(ISNUMBER(SEARCH(G12,IFERROR(INDEX(Matches_2!$G:$G,MATCH(C12,Matches_2!$A:$A,0)),""))),G12&lt;&gt;F12),Scoring_Constants!$B$7,0))</f>
        <v/>
      </c>
      <c r="L12">
        <f>IF(OR(H12="",IFERROR(INDEX(Matches_2!$H:$H,MATCH(C12,Matches_2!$A:$A,0)),"")=""),0,IF(H12=IFERROR(INDEX(Matches_2!$H:$H,MATCH(C12,Matches_2!$A:$A,0)),""),Scoring_Constants!$B$8,0))</f>
        <v/>
      </c>
      <c r="M12">
        <f>SUM(I12:L12)</f>
        <v/>
      </c>
      <c r="O12" t="b">
        <v>0</v>
      </c>
    </row>
    <row r="13">
      <c r="A13" t="inlineStr">
        <is>
          <t>M001</t>
        </is>
      </c>
      <c r="B13">
        <f>IFERROR(INDEX(Managers!$B:$B,MATCH(A13,Managers!$A:$A,0)),"")</f>
        <v/>
      </c>
      <c r="C13" t="inlineStr">
        <is>
          <t>R32_12</t>
        </is>
      </c>
      <c r="D13">
        <f>IFERROR(INDEX(Matches_2!$B:$B,MATCH(C13,Matches_2!$A:$A,0)),"")</f>
        <v/>
      </c>
      <c r="I13">
        <f>IF(OR(E13="",IFERROR(INDEX(Matches_2!$F:$F,MATCH(C13,Matches_2!$A:$A,0)),"")=""),0,IF(E13=IFERROR(INDEX(Matches_2!$F:$F,MATCH(C13,Matches_2!$A:$A,0)),""),Scoring_Constants!$B$6,0))</f>
        <v/>
      </c>
      <c r="J13">
        <f>IF(OR(F13="",IFERROR(INDEX(Matches_2!$G:$G,MATCH(C13,Matches_2!$A:$A,0)),"")=""),0,IF(ISNUMBER(SEARCH(F13,IFERROR(INDEX(Matches_2!$G:$G,MATCH(C13,Matches_2!$A:$A,0)),""))),Scoring_Constants!$B$7,0))</f>
        <v/>
      </c>
      <c r="K13">
        <f>IF(OR(G13="",IFERROR(INDEX(Matches_2!$G:$G,MATCH(C13,Matches_2!$A:$A,0)),"")=""),0,IF(AND(ISNUMBER(SEARCH(G13,IFERROR(INDEX(Matches_2!$G:$G,MATCH(C13,Matches_2!$A:$A,0)),""))),G13&lt;&gt;F13),Scoring_Constants!$B$7,0))</f>
        <v/>
      </c>
      <c r="L13">
        <f>IF(OR(H13="",IFERROR(INDEX(Matches_2!$H:$H,MATCH(C13,Matches_2!$A:$A,0)),"")=""),0,IF(H13=IFERROR(INDEX(Matches_2!$H:$H,MATCH(C13,Matches_2!$A:$A,0)),""),Scoring_Constants!$B$8,0))</f>
        <v/>
      </c>
      <c r="M13">
        <f>SUM(I13:L13)</f>
        <v/>
      </c>
      <c r="O13" t="b">
        <v>0</v>
      </c>
    </row>
    <row r="14">
      <c r="A14" t="inlineStr">
        <is>
          <t>M001</t>
        </is>
      </c>
      <c r="B14">
        <f>IFERROR(INDEX(Managers!$B:$B,MATCH(A14,Managers!$A:$A,0)),"")</f>
        <v/>
      </c>
      <c r="C14" t="inlineStr">
        <is>
          <t>R32_13</t>
        </is>
      </c>
      <c r="D14">
        <f>IFERROR(INDEX(Matches_2!$B:$B,MATCH(C14,Matches_2!$A:$A,0)),"")</f>
        <v/>
      </c>
      <c r="I14">
        <f>IF(OR(E14="",IFERROR(INDEX(Matches_2!$F:$F,MATCH(C14,Matches_2!$A:$A,0)),"")=""),0,IF(E14=IFERROR(INDEX(Matches_2!$F:$F,MATCH(C14,Matches_2!$A:$A,0)),""),Scoring_Constants!$B$6,0))</f>
        <v/>
      </c>
      <c r="J14">
        <f>IF(OR(F14="",IFERROR(INDEX(Matches_2!$G:$G,MATCH(C14,Matches_2!$A:$A,0)),"")=""),0,IF(ISNUMBER(SEARCH(F14,IFERROR(INDEX(Matches_2!$G:$G,MATCH(C14,Matches_2!$A:$A,0)),""))),Scoring_Constants!$B$7,0))</f>
        <v/>
      </c>
      <c r="K14">
        <f>IF(OR(G14="",IFERROR(INDEX(Matches_2!$G:$G,MATCH(C14,Matches_2!$A:$A,0)),"")=""),0,IF(AND(ISNUMBER(SEARCH(G14,IFERROR(INDEX(Matches_2!$G:$G,MATCH(C14,Matches_2!$A:$A,0)),""))),G14&lt;&gt;F14),Scoring_Constants!$B$7,0))</f>
        <v/>
      </c>
      <c r="L14">
        <f>IF(OR(H14="",IFERROR(INDEX(Matches_2!$H:$H,MATCH(C14,Matches_2!$A:$A,0)),"")=""),0,IF(H14=IFERROR(INDEX(Matches_2!$H:$H,MATCH(C14,Matches_2!$A:$A,0)),""),Scoring_Constants!$B$8,0))</f>
        <v/>
      </c>
      <c r="M14">
        <f>SUM(I14:L14)</f>
        <v/>
      </c>
      <c r="O14" t="b">
        <v>0</v>
      </c>
    </row>
    <row r="15">
      <c r="A15" t="inlineStr">
        <is>
          <t>M001</t>
        </is>
      </c>
      <c r="B15">
        <f>IFERROR(INDEX(Managers!$B:$B,MATCH(A15,Managers!$A:$A,0)),"")</f>
        <v/>
      </c>
      <c r="C15" t="inlineStr">
        <is>
          <t>R32_14</t>
        </is>
      </c>
      <c r="D15">
        <f>IFERROR(INDEX(Matches_2!$B:$B,MATCH(C15,Matches_2!$A:$A,0)),"")</f>
        <v/>
      </c>
      <c r="I15">
        <f>IF(OR(E15="",IFERROR(INDEX(Matches_2!$F:$F,MATCH(C15,Matches_2!$A:$A,0)),"")=""),0,IF(E15=IFERROR(INDEX(Matches_2!$F:$F,MATCH(C15,Matches_2!$A:$A,0)),""),Scoring_Constants!$B$6,0))</f>
        <v/>
      </c>
      <c r="J15">
        <f>IF(OR(F15="",IFERROR(INDEX(Matches_2!$G:$G,MATCH(C15,Matches_2!$A:$A,0)),"")=""),0,IF(ISNUMBER(SEARCH(F15,IFERROR(INDEX(Matches_2!$G:$G,MATCH(C15,Matches_2!$A:$A,0)),""))),Scoring_Constants!$B$7,0))</f>
        <v/>
      </c>
      <c r="K15">
        <f>IF(OR(G15="",IFERROR(INDEX(Matches_2!$G:$G,MATCH(C15,Matches_2!$A:$A,0)),"")=""),0,IF(AND(ISNUMBER(SEARCH(G15,IFERROR(INDEX(Matches_2!$G:$G,MATCH(C15,Matches_2!$A:$A,0)),""))),G15&lt;&gt;F15),Scoring_Constants!$B$7,0))</f>
        <v/>
      </c>
      <c r="L15">
        <f>IF(OR(H15="",IFERROR(INDEX(Matches_2!$H:$H,MATCH(C15,Matches_2!$A:$A,0)),"")=""),0,IF(H15=IFERROR(INDEX(Matches_2!$H:$H,MATCH(C15,Matches_2!$A:$A,0)),""),Scoring_Constants!$B$8,0))</f>
        <v/>
      </c>
      <c r="M15">
        <f>SUM(I15:L15)</f>
        <v/>
      </c>
      <c r="O15" t="b">
        <v>0</v>
      </c>
    </row>
    <row r="16">
      <c r="A16" t="inlineStr">
        <is>
          <t>M001</t>
        </is>
      </c>
      <c r="B16">
        <f>IFERROR(INDEX(Managers!$B:$B,MATCH(A16,Managers!$A:$A,0)),"")</f>
        <v/>
      </c>
      <c r="C16" t="inlineStr">
        <is>
          <t>R32_15</t>
        </is>
      </c>
      <c r="D16">
        <f>IFERROR(INDEX(Matches_2!$B:$B,MATCH(C16,Matches_2!$A:$A,0)),"")</f>
        <v/>
      </c>
      <c r="I16">
        <f>IF(OR(E16="",IFERROR(INDEX(Matches_2!$F:$F,MATCH(C16,Matches_2!$A:$A,0)),"")=""),0,IF(E16=IFERROR(INDEX(Matches_2!$F:$F,MATCH(C16,Matches_2!$A:$A,0)),""),Scoring_Constants!$B$6,0))</f>
        <v/>
      </c>
      <c r="J16">
        <f>IF(OR(F16="",IFERROR(INDEX(Matches_2!$G:$G,MATCH(C16,Matches_2!$A:$A,0)),"")=""),0,IF(ISNUMBER(SEARCH(F16,IFERROR(INDEX(Matches_2!$G:$G,MATCH(C16,Matches_2!$A:$A,0)),""))),Scoring_Constants!$B$7,0))</f>
        <v/>
      </c>
      <c r="K16">
        <f>IF(OR(G16="",IFERROR(INDEX(Matches_2!$G:$G,MATCH(C16,Matches_2!$A:$A,0)),"")=""),0,IF(AND(ISNUMBER(SEARCH(G16,IFERROR(INDEX(Matches_2!$G:$G,MATCH(C16,Matches_2!$A:$A,0)),""))),G16&lt;&gt;F16),Scoring_Constants!$B$7,0))</f>
        <v/>
      </c>
      <c r="L16">
        <f>IF(OR(H16="",IFERROR(INDEX(Matches_2!$H:$H,MATCH(C16,Matches_2!$A:$A,0)),"")=""),0,IF(H16=IFERROR(INDEX(Matches_2!$H:$H,MATCH(C16,Matches_2!$A:$A,0)),""),Scoring_Constants!$B$8,0))</f>
        <v/>
      </c>
      <c r="M16">
        <f>SUM(I16:L16)</f>
        <v/>
      </c>
      <c r="O16" t="b">
        <v>0</v>
      </c>
    </row>
    <row r="17">
      <c r="A17" t="inlineStr">
        <is>
          <t>M001</t>
        </is>
      </c>
      <c r="B17">
        <f>IFERROR(INDEX(Managers!$B:$B,MATCH(A17,Managers!$A:$A,0)),"")</f>
        <v/>
      </c>
      <c r="C17" t="inlineStr">
        <is>
          <t>R32_16</t>
        </is>
      </c>
      <c r="D17">
        <f>IFERROR(INDEX(Matches_2!$B:$B,MATCH(C17,Matches_2!$A:$A,0)),"")</f>
        <v/>
      </c>
      <c r="I17">
        <f>IF(OR(E17="",IFERROR(INDEX(Matches_2!$F:$F,MATCH(C17,Matches_2!$A:$A,0)),"")=""),0,IF(E17=IFERROR(INDEX(Matches_2!$F:$F,MATCH(C17,Matches_2!$A:$A,0)),""),Scoring_Constants!$B$6,0))</f>
        <v/>
      </c>
      <c r="J17">
        <f>IF(OR(F17="",IFERROR(INDEX(Matches_2!$G:$G,MATCH(C17,Matches_2!$A:$A,0)),"")=""),0,IF(ISNUMBER(SEARCH(F17,IFERROR(INDEX(Matches_2!$G:$G,MATCH(C17,Matches_2!$A:$A,0)),""))),Scoring_Constants!$B$7,0))</f>
        <v/>
      </c>
      <c r="K17">
        <f>IF(OR(G17="",IFERROR(INDEX(Matches_2!$G:$G,MATCH(C17,Matches_2!$A:$A,0)),"")=""),0,IF(AND(ISNUMBER(SEARCH(G17,IFERROR(INDEX(Matches_2!$G:$G,MATCH(C17,Matches_2!$A:$A,0)),""))),G17&lt;&gt;F17),Scoring_Constants!$B$7,0))</f>
        <v/>
      </c>
      <c r="L17">
        <f>IF(OR(H17="",IFERROR(INDEX(Matches_2!$H:$H,MATCH(C17,Matches_2!$A:$A,0)),"")=""),0,IF(H17=IFERROR(INDEX(Matches_2!$H:$H,MATCH(C17,Matches_2!$A:$A,0)),""),Scoring_Constants!$B$8,0))</f>
        <v/>
      </c>
      <c r="M17">
        <f>SUM(I17:L17)</f>
        <v/>
      </c>
      <c r="O17" t="b">
        <v>0</v>
      </c>
    </row>
    <row r="18">
      <c r="A18" t="inlineStr">
        <is>
          <t>M001</t>
        </is>
      </c>
      <c r="B18">
        <f>IFERROR(INDEX(Managers!$B:$B,MATCH(A18,Managers!$A:$A,0)),"")</f>
        <v/>
      </c>
      <c r="C18" t="inlineStr">
        <is>
          <t>R16_01</t>
        </is>
      </c>
      <c r="D18">
        <f>IFERROR(INDEX(Matches_2!$B:$B,MATCH(C18,Matches_2!$A:$A,0)),"")</f>
        <v/>
      </c>
      <c r="I18">
        <f>IF(OR(E18="",IFERROR(INDEX(Matches_2!$F:$F,MATCH(C18,Matches_2!$A:$A,0)),"")=""),0,IF(E18=IFERROR(INDEX(Matches_2!$F:$F,MATCH(C18,Matches_2!$A:$A,0)),""),Scoring_Constants!$B$6,0))</f>
        <v/>
      </c>
      <c r="J18">
        <f>IF(OR(F18="",IFERROR(INDEX(Matches_2!$G:$G,MATCH(C18,Matches_2!$A:$A,0)),"")=""),0,IF(ISNUMBER(SEARCH(F18,IFERROR(INDEX(Matches_2!$G:$G,MATCH(C18,Matches_2!$A:$A,0)),""))),Scoring_Constants!$B$7,0))</f>
        <v/>
      </c>
      <c r="K18">
        <f>IF(OR(G18="",IFERROR(INDEX(Matches_2!$G:$G,MATCH(C18,Matches_2!$A:$A,0)),"")=""),0,IF(AND(ISNUMBER(SEARCH(G18,IFERROR(INDEX(Matches_2!$G:$G,MATCH(C18,Matches_2!$A:$A,0)),""))),G18&lt;&gt;F18),Scoring_Constants!$B$7,0))</f>
        <v/>
      </c>
      <c r="L18">
        <f>IF(OR(H18="",IFERROR(INDEX(Matches_2!$H:$H,MATCH(C18,Matches_2!$A:$A,0)),"")=""),0,IF(H18=IFERROR(INDEX(Matches_2!$H:$H,MATCH(C18,Matches_2!$A:$A,0)),""),Scoring_Constants!$B$8,0))</f>
        <v/>
      </c>
      <c r="M18">
        <f>SUM(I18:L18)</f>
        <v/>
      </c>
      <c r="O18" t="b">
        <v>0</v>
      </c>
    </row>
    <row r="19">
      <c r="A19" t="inlineStr">
        <is>
          <t>M001</t>
        </is>
      </c>
      <c r="B19">
        <f>IFERROR(INDEX(Managers!$B:$B,MATCH(A19,Managers!$A:$A,0)),"")</f>
        <v/>
      </c>
      <c r="C19" t="inlineStr">
        <is>
          <t>R16_02</t>
        </is>
      </c>
      <c r="D19">
        <f>IFERROR(INDEX(Matches_2!$B:$B,MATCH(C19,Matches_2!$A:$A,0)),"")</f>
        <v/>
      </c>
      <c r="I19">
        <f>IF(OR(E19="",IFERROR(INDEX(Matches_2!$F:$F,MATCH(C19,Matches_2!$A:$A,0)),"")=""),0,IF(E19=IFERROR(INDEX(Matches_2!$F:$F,MATCH(C19,Matches_2!$A:$A,0)),""),Scoring_Constants!$B$6,0))</f>
        <v/>
      </c>
      <c r="J19">
        <f>IF(OR(F19="",IFERROR(INDEX(Matches_2!$G:$G,MATCH(C19,Matches_2!$A:$A,0)),"")=""),0,IF(ISNUMBER(SEARCH(F19,IFERROR(INDEX(Matches_2!$G:$G,MATCH(C19,Matches_2!$A:$A,0)),""))),Scoring_Constants!$B$7,0))</f>
        <v/>
      </c>
      <c r="K19">
        <f>IF(OR(G19="",IFERROR(INDEX(Matches_2!$G:$G,MATCH(C19,Matches_2!$A:$A,0)),"")=""),0,IF(AND(ISNUMBER(SEARCH(G19,IFERROR(INDEX(Matches_2!$G:$G,MATCH(C19,Matches_2!$A:$A,0)),""))),G19&lt;&gt;F19),Scoring_Constants!$B$7,0))</f>
        <v/>
      </c>
      <c r="L19">
        <f>IF(OR(H19="",IFERROR(INDEX(Matches_2!$H:$H,MATCH(C19,Matches_2!$A:$A,0)),"")=""),0,IF(H19=IFERROR(INDEX(Matches_2!$H:$H,MATCH(C19,Matches_2!$A:$A,0)),""),Scoring_Constants!$B$8,0))</f>
        <v/>
      </c>
      <c r="M19">
        <f>SUM(I19:L19)</f>
        <v/>
      </c>
      <c r="O19" t="b">
        <v>0</v>
      </c>
    </row>
    <row r="20">
      <c r="A20" t="inlineStr">
        <is>
          <t>M001</t>
        </is>
      </c>
      <c r="B20">
        <f>IFERROR(INDEX(Managers!$B:$B,MATCH(A20,Managers!$A:$A,0)),"")</f>
        <v/>
      </c>
      <c r="C20" t="inlineStr">
        <is>
          <t>R16_03</t>
        </is>
      </c>
      <c r="D20">
        <f>IFERROR(INDEX(Matches_2!$B:$B,MATCH(C20,Matches_2!$A:$A,0)),"")</f>
        <v/>
      </c>
      <c r="I20">
        <f>IF(OR(E20="",IFERROR(INDEX(Matches_2!$F:$F,MATCH(C20,Matches_2!$A:$A,0)),"")=""),0,IF(E20=IFERROR(INDEX(Matches_2!$F:$F,MATCH(C20,Matches_2!$A:$A,0)),""),Scoring_Constants!$B$6,0))</f>
        <v/>
      </c>
      <c r="J20">
        <f>IF(OR(F20="",IFERROR(INDEX(Matches_2!$G:$G,MATCH(C20,Matches_2!$A:$A,0)),"")=""),0,IF(ISNUMBER(SEARCH(F20,IFERROR(INDEX(Matches_2!$G:$G,MATCH(C20,Matches_2!$A:$A,0)),""))),Scoring_Constants!$B$7,0))</f>
        <v/>
      </c>
      <c r="K20">
        <f>IF(OR(G20="",IFERROR(INDEX(Matches_2!$G:$G,MATCH(C20,Matches_2!$A:$A,0)),"")=""),0,IF(AND(ISNUMBER(SEARCH(G20,IFERROR(INDEX(Matches_2!$G:$G,MATCH(C20,Matches_2!$A:$A,0)),""))),G20&lt;&gt;F20),Scoring_Constants!$B$7,0))</f>
        <v/>
      </c>
      <c r="L20">
        <f>IF(OR(H20="",IFERROR(INDEX(Matches_2!$H:$H,MATCH(C20,Matches_2!$A:$A,0)),"")=""),0,IF(H20=IFERROR(INDEX(Matches_2!$H:$H,MATCH(C20,Matches_2!$A:$A,0)),""),Scoring_Constants!$B$8,0))</f>
        <v/>
      </c>
      <c r="M20">
        <f>SUM(I20:L20)</f>
        <v/>
      </c>
      <c r="O20" t="b">
        <v>0</v>
      </c>
    </row>
    <row r="21">
      <c r="A21" t="inlineStr">
        <is>
          <t>M001</t>
        </is>
      </c>
      <c r="B21">
        <f>IFERROR(INDEX(Managers!$B:$B,MATCH(A21,Managers!$A:$A,0)),"")</f>
        <v/>
      </c>
      <c r="C21" t="inlineStr">
        <is>
          <t>R16_04</t>
        </is>
      </c>
      <c r="D21">
        <f>IFERROR(INDEX(Matches_2!$B:$B,MATCH(C21,Matches_2!$A:$A,0)),"")</f>
        <v/>
      </c>
      <c r="I21">
        <f>IF(OR(E21="",IFERROR(INDEX(Matches_2!$F:$F,MATCH(C21,Matches_2!$A:$A,0)),"")=""),0,IF(E21=IFERROR(INDEX(Matches_2!$F:$F,MATCH(C21,Matches_2!$A:$A,0)),""),Scoring_Constants!$B$6,0))</f>
        <v/>
      </c>
      <c r="J21">
        <f>IF(OR(F21="",IFERROR(INDEX(Matches_2!$G:$G,MATCH(C21,Matches_2!$A:$A,0)),"")=""),0,IF(ISNUMBER(SEARCH(F21,IFERROR(INDEX(Matches_2!$G:$G,MATCH(C21,Matches_2!$A:$A,0)),""))),Scoring_Constants!$B$7,0))</f>
        <v/>
      </c>
      <c r="K21">
        <f>IF(OR(G21="",IFERROR(INDEX(Matches_2!$G:$G,MATCH(C21,Matches_2!$A:$A,0)),"")=""),0,IF(AND(ISNUMBER(SEARCH(G21,IFERROR(INDEX(Matches_2!$G:$G,MATCH(C21,Matches_2!$A:$A,0)),""))),G21&lt;&gt;F21),Scoring_Constants!$B$7,0))</f>
        <v/>
      </c>
      <c r="L21">
        <f>IF(OR(H21="",IFERROR(INDEX(Matches_2!$H:$H,MATCH(C21,Matches_2!$A:$A,0)),"")=""),0,IF(H21=IFERROR(INDEX(Matches_2!$H:$H,MATCH(C21,Matches_2!$A:$A,0)),""),Scoring_Constants!$B$8,0))</f>
        <v/>
      </c>
      <c r="M21">
        <f>SUM(I21:L21)</f>
        <v/>
      </c>
      <c r="O21" t="b">
        <v>0</v>
      </c>
    </row>
    <row r="22">
      <c r="A22" t="inlineStr">
        <is>
          <t>M001</t>
        </is>
      </c>
      <c r="B22">
        <f>IFERROR(INDEX(Managers!$B:$B,MATCH(A22,Managers!$A:$A,0)),"")</f>
        <v/>
      </c>
      <c r="C22" t="inlineStr">
        <is>
          <t>R16_05</t>
        </is>
      </c>
      <c r="D22">
        <f>IFERROR(INDEX(Matches_2!$B:$B,MATCH(C22,Matches_2!$A:$A,0)),"")</f>
        <v/>
      </c>
      <c r="I22">
        <f>IF(OR(E22="",IFERROR(INDEX(Matches_2!$F:$F,MATCH(C22,Matches_2!$A:$A,0)),"")=""),0,IF(E22=IFERROR(INDEX(Matches_2!$F:$F,MATCH(C22,Matches_2!$A:$A,0)),""),Scoring_Constants!$B$6,0))</f>
        <v/>
      </c>
      <c r="J22">
        <f>IF(OR(F22="",IFERROR(INDEX(Matches_2!$G:$G,MATCH(C22,Matches_2!$A:$A,0)),"")=""),0,IF(ISNUMBER(SEARCH(F22,IFERROR(INDEX(Matches_2!$G:$G,MATCH(C22,Matches_2!$A:$A,0)),""))),Scoring_Constants!$B$7,0))</f>
        <v/>
      </c>
      <c r="K22">
        <f>IF(OR(G22="",IFERROR(INDEX(Matches_2!$G:$G,MATCH(C22,Matches_2!$A:$A,0)),"")=""),0,IF(AND(ISNUMBER(SEARCH(G22,IFERROR(INDEX(Matches_2!$G:$G,MATCH(C22,Matches_2!$A:$A,0)),""))),G22&lt;&gt;F22),Scoring_Constants!$B$7,0))</f>
        <v/>
      </c>
      <c r="L22">
        <f>IF(OR(H22="",IFERROR(INDEX(Matches_2!$H:$H,MATCH(C22,Matches_2!$A:$A,0)),"")=""),0,IF(H22=IFERROR(INDEX(Matches_2!$H:$H,MATCH(C22,Matches_2!$A:$A,0)),""),Scoring_Constants!$B$8,0))</f>
        <v/>
      </c>
      <c r="M22">
        <f>SUM(I22:L22)</f>
        <v/>
      </c>
      <c r="O22" t="b">
        <v>0</v>
      </c>
    </row>
    <row r="23">
      <c r="A23" t="inlineStr">
        <is>
          <t>M001</t>
        </is>
      </c>
      <c r="B23">
        <f>IFERROR(INDEX(Managers!$B:$B,MATCH(A23,Managers!$A:$A,0)),"")</f>
        <v/>
      </c>
      <c r="C23" t="inlineStr">
        <is>
          <t>R16_06</t>
        </is>
      </c>
      <c r="D23">
        <f>IFERROR(INDEX(Matches_2!$B:$B,MATCH(C23,Matches_2!$A:$A,0)),"")</f>
        <v/>
      </c>
      <c r="I23">
        <f>IF(OR(E23="",IFERROR(INDEX(Matches_2!$F:$F,MATCH(C23,Matches_2!$A:$A,0)),"")=""),0,IF(E23=IFERROR(INDEX(Matches_2!$F:$F,MATCH(C23,Matches_2!$A:$A,0)),""),Scoring_Constants!$B$6,0))</f>
        <v/>
      </c>
      <c r="J23">
        <f>IF(OR(F23="",IFERROR(INDEX(Matches_2!$G:$G,MATCH(C23,Matches_2!$A:$A,0)),"")=""),0,IF(ISNUMBER(SEARCH(F23,IFERROR(INDEX(Matches_2!$G:$G,MATCH(C23,Matches_2!$A:$A,0)),""))),Scoring_Constants!$B$7,0))</f>
        <v/>
      </c>
      <c r="K23">
        <f>IF(OR(G23="",IFERROR(INDEX(Matches_2!$G:$G,MATCH(C23,Matches_2!$A:$A,0)),"")=""),0,IF(AND(ISNUMBER(SEARCH(G23,IFERROR(INDEX(Matches_2!$G:$G,MATCH(C23,Matches_2!$A:$A,0)),""))),G23&lt;&gt;F23),Scoring_Constants!$B$7,0))</f>
        <v/>
      </c>
      <c r="L23">
        <f>IF(OR(H23="",IFERROR(INDEX(Matches_2!$H:$H,MATCH(C23,Matches_2!$A:$A,0)),"")=""),0,IF(H23=IFERROR(INDEX(Matches_2!$H:$H,MATCH(C23,Matches_2!$A:$A,0)),""),Scoring_Constants!$B$8,0))</f>
        <v/>
      </c>
      <c r="M23">
        <f>SUM(I23:L23)</f>
        <v/>
      </c>
      <c r="O23" t="b">
        <v>0</v>
      </c>
    </row>
    <row r="24">
      <c r="A24" t="inlineStr">
        <is>
          <t>M001</t>
        </is>
      </c>
      <c r="B24">
        <f>IFERROR(INDEX(Managers!$B:$B,MATCH(A24,Managers!$A:$A,0)),"")</f>
        <v/>
      </c>
      <c r="C24" t="inlineStr">
        <is>
          <t>R16_07</t>
        </is>
      </c>
      <c r="D24">
        <f>IFERROR(INDEX(Matches_2!$B:$B,MATCH(C24,Matches_2!$A:$A,0)),"")</f>
        <v/>
      </c>
      <c r="I24">
        <f>IF(OR(E24="",IFERROR(INDEX(Matches_2!$F:$F,MATCH(C24,Matches_2!$A:$A,0)),"")=""),0,IF(E24=IFERROR(INDEX(Matches_2!$F:$F,MATCH(C24,Matches_2!$A:$A,0)),""),Scoring_Constants!$B$6,0))</f>
        <v/>
      </c>
      <c r="J24">
        <f>IF(OR(F24="",IFERROR(INDEX(Matches_2!$G:$G,MATCH(C24,Matches_2!$A:$A,0)),"")=""),0,IF(ISNUMBER(SEARCH(F24,IFERROR(INDEX(Matches_2!$G:$G,MATCH(C24,Matches_2!$A:$A,0)),""))),Scoring_Constants!$B$7,0))</f>
        <v/>
      </c>
      <c r="K24">
        <f>IF(OR(G24="",IFERROR(INDEX(Matches_2!$G:$G,MATCH(C24,Matches_2!$A:$A,0)),"")=""),0,IF(AND(ISNUMBER(SEARCH(G24,IFERROR(INDEX(Matches_2!$G:$G,MATCH(C24,Matches_2!$A:$A,0)),""))),G24&lt;&gt;F24),Scoring_Constants!$B$7,0))</f>
        <v/>
      </c>
      <c r="L24">
        <f>IF(OR(H24="",IFERROR(INDEX(Matches_2!$H:$H,MATCH(C24,Matches_2!$A:$A,0)),"")=""),0,IF(H24=IFERROR(INDEX(Matches_2!$H:$H,MATCH(C24,Matches_2!$A:$A,0)),""),Scoring_Constants!$B$8,0))</f>
        <v/>
      </c>
      <c r="M24">
        <f>SUM(I24:L24)</f>
        <v/>
      </c>
      <c r="O24" t="b">
        <v>0</v>
      </c>
    </row>
    <row r="25">
      <c r="A25" t="inlineStr">
        <is>
          <t>M001</t>
        </is>
      </c>
      <c r="B25">
        <f>IFERROR(INDEX(Managers!$B:$B,MATCH(A25,Managers!$A:$A,0)),"")</f>
        <v/>
      </c>
      <c r="C25" t="inlineStr">
        <is>
          <t>R16_08</t>
        </is>
      </c>
      <c r="D25">
        <f>IFERROR(INDEX(Matches_2!$B:$B,MATCH(C25,Matches_2!$A:$A,0)),"")</f>
        <v/>
      </c>
      <c r="I25">
        <f>IF(OR(E25="",IFERROR(INDEX(Matches_2!$F:$F,MATCH(C25,Matches_2!$A:$A,0)),"")=""),0,IF(E25=IFERROR(INDEX(Matches_2!$F:$F,MATCH(C25,Matches_2!$A:$A,0)),""),Scoring_Constants!$B$6,0))</f>
        <v/>
      </c>
      <c r="J25">
        <f>IF(OR(F25="",IFERROR(INDEX(Matches_2!$G:$G,MATCH(C25,Matches_2!$A:$A,0)),"")=""),0,IF(ISNUMBER(SEARCH(F25,IFERROR(INDEX(Matches_2!$G:$G,MATCH(C25,Matches_2!$A:$A,0)),""))),Scoring_Constants!$B$7,0))</f>
        <v/>
      </c>
      <c r="K25">
        <f>IF(OR(G25="",IFERROR(INDEX(Matches_2!$G:$G,MATCH(C25,Matches_2!$A:$A,0)),"")=""),0,IF(AND(ISNUMBER(SEARCH(G25,IFERROR(INDEX(Matches_2!$G:$G,MATCH(C25,Matches_2!$A:$A,0)),""))),G25&lt;&gt;F25),Scoring_Constants!$B$7,0))</f>
        <v/>
      </c>
      <c r="L25">
        <f>IF(OR(H25="",IFERROR(INDEX(Matches_2!$H:$H,MATCH(C25,Matches_2!$A:$A,0)),"")=""),0,IF(H25=IFERROR(INDEX(Matches_2!$H:$H,MATCH(C25,Matches_2!$A:$A,0)),""),Scoring_Constants!$B$8,0))</f>
        <v/>
      </c>
      <c r="M25">
        <f>SUM(I25:L25)</f>
        <v/>
      </c>
      <c r="O25" t="b">
        <v>0</v>
      </c>
    </row>
    <row r="26">
      <c r="A26" t="inlineStr">
        <is>
          <t>M001</t>
        </is>
      </c>
      <c r="B26">
        <f>IFERROR(INDEX(Managers!$B:$B,MATCH(A26,Managers!$A:$A,0)),"")</f>
        <v/>
      </c>
      <c r="C26" t="inlineStr">
        <is>
          <t>QF_01</t>
        </is>
      </c>
      <c r="D26">
        <f>IFERROR(INDEX(Matches_2!$B:$B,MATCH(C26,Matches_2!$A:$A,0)),"")</f>
        <v/>
      </c>
      <c r="I26">
        <f>IF(OR(E26="",IFERROR(INDEX(Matches_2!$F:$F,MATCH(C26,Matches_2!$A:$A,0)),"")=""),0,IF(E26=IFERROR(INDEX(Matches_2!$F:$F,MATCH(C26,Matches_2!$A:$A,0)),""),Scoring_Constants!$B$6,0))</f>
        <v/>
      </c>
      <c r="J26">
        <f>IF(OR(F26="",IFERROR(INDEX(Matches_2!$G:$G,MATCH(C26,Matches_2!$A:$A,0)),"")=""),0,IF(ISNUMBER(SEARCH(F26,IFERROR(INDEX(Matches_2!$G:$G,MATCH(C26,Matches_2!$A:$A,0)),""))),Scoring_Constants!$B$7,0))</f>
        <v/>
      </c>
      <c r="K26">
        <f>IF(OR(G26="",IFERROR(INDEX(Matches_2!$G:$G,MATCH(C26,Matches_2!$A:$A,0)),"")=""),0,IF(AND(ISNUMBER(SEARCH(G26,IFERROR(INDEX(Matches_2!$G:$G,MATCH(C26,Matches_2!$A:$A,0)),""))),G26&lt;&gt;F26),Scoring_Constants!$B$7,0))</f>
        <v/>
      </c>
      <c r="L26">
        <f>IF(OR(H26="",IFERROR(INDEX(Matches_2!$H:$H,MATCH(C26,Matches_2!$A:$A,0)),"")=""),0,IF(H26=IFERROR(INDEX(Matches_2!$H:$H,MATCH(C26,Matches_2!$A:$A,0)),""),Scoring_Constants!$B$8,0))</f>
        <v/>
      </c>
      <c r="M26">
        <f>SUM(I26:L26)</f>
        <v/>
      </c>
      <c r="O26" t="b">
        <v>0</v>
      </c>
    </row>
    <row r="27">
      <c r="A27" t="inlineStr">
        <is>
          <t>M001</t>
        </is>
      </c>
      <c r="B27">
        <f>IFERROR(INDEX(Managers!$B:$B,MATCH(A27,Managers!$A:$A,0)),"")</f>
        <v/>
      </c>
      <c r="C27" t="inlineStr">
        <is>
          <t>QF_02</t>
        </is>
      </c>
      <c r="D27">
        <f>IFERROR(INDEX(Matches_2!$B:$B,MATCH(C27,Matches_2!$A:$A,0)),"")</f>
        <v/>
      </c>
      <c r="I27">
        <f>IF(OR(E27="",IFERROR(INDEX(Matches_2!$F:$F,MATCH(C27,Matches_2!$A:$A,0)),"")=""),0,IF(E27=IFERROR(INDEX(Matches_2!$F:$F,MATCH(C27,Matches_2!$A:$A,0)),""),Scoring_Constants!$B$6,0))</f>
        <v/>
      </c>
      <c r="J27">
        <f>IF(OR(F27="",IFERROR(INDEX(Matches_2!$G:$G,MATCH(C27,Matches_2!$A:$A,0)),"")=""),0,IF(ISNUMBER(SEARCH(F27,IFERROR(INDEX(Matches_2!$G:$G,MATCH(C27,Matches_2!$A:$A,0)),""))),Scoring_Constants!$B$7,0))</f>
        <v/>
      </c>
      <c r="K27">
        <f>IF(OR(G27="",IFERROR(INDEX(Matches_2!$G:$G,MATCH(C27,Matches_2!$A:$A,0)),"")=""),0,IF(AND(ISNUMBER(SEARCH(G27,IFERROR(INDEX(Matches_2!$G:$G,MATCH(C27,Matches_2!$A:$A,0)),""))),G27&lt;&gt;F27),Scoring_Constants!$B$7,0))</f>
        <v/>
      </c>
      <c r="L27">
        <f>IF(OR(H27="",IFERROR(INDEX(Matches_2!$H:$H,MATCH(C27,Matches_2!$A:$A,0)),"")=""),0,IF(H27=IFERROR(INDEX(Matches_2!$H:$H,MATCH(C27,Matches_2!$A:$A,0)),""),Scoring_Constants!$B$8,0))</f>
        <v/>
      </c>
      <c r="M27">
        <f>SUM(I27:L27)</f>
        <v/>
      </c>
      <c r="O27" t="b">
        <v>0</v>
      </c>
    </row>
    <row r="28">
      <c r="A28" t="inlineStr">
        <is>
          <t>M001</t>
        </is>
      </c>
      <c r="B28">
        <f>IFERROR(INDEX(Managers!$B:$B,MATCH(A28,Managers!$A:$A,0)),"")</f>
        <v/>
      </c>
      <c r="C28" t="inlineStr">
        <is>
          <t>QF_03</t>
        </is>
      </c>
      <c r="D28">
        <f>IFERROR(INDEX(Matches_2!$B:$B,MATCH(C28,Matches_2!$A:$A,0)),"")</f>
        <v/>
      </c>
      <c r="I28">
        <f>IF(OR(E28="",IFERROR(INDEX(Matches_2!$F:$F,MATCH(C28,Matches_2!$A:$A,0)),"")=""),0,IF(E28=IFERROR(INDEX(Matches_2!$F:$F,MATCH(C28,Matches_2!$A:$A,0)),""),Scoring_Constants!$B$6,0))</f>
        <v/>
      </c>
      <c r="J28">
        <f>IF(OR(F28="",IFERROR(INDEX(Matches_2!$G:$G,MATCH(C28,Matches_2!$A:$A,0)),"")=""),0,IF(ISNUMBER(SEARCH(F28,IFERROR(INDEX(Matches_2!$G:$G,MATCH(C28,Matches_2!$A:$A,0)),""))),Scoring_Constants!$B$7,0))</f>
        <v/>
      </c>
      <c r="K28">
        <f>IF(OR(G28="",IFERROR(INDEX(Matches_2!$G:$G,MATCH(C28,Matches_2!$A:$A,0)),"")=""),0,IF(AND(ISNUMBER(SEARCH(G28,IFERROR(INDEX(Matches_2!$G:$G,MATCH(C28,Matches_2!$A:$A,0)),""))),G28&lt;&gt;F28),Scoring_Constants!$B$7,0))</f>
        <v/>
      </c>
      <c r="L28">
        <f>IF(OR(H28="",IFERROR(INDEX(Matches_2!$H:$H,MATCH(C28,Matches_2!$A:$A,0)),"")=""),0,IF(H28=IFERROR(INDEX(Matches_2!$H:$H,MATCH(C28,Matches_2!$A:$A,0)),""),Scoring_Constants!$B$8,0))</f>
        <v/>
      </c>
      <c r="M28">
        <f>SUM(I28:L28)</f>
        <v/>
      </c>
      <c r="O28" t="b">
        <v>0</v>
      </c>
    </row>
    <row r="29">
      <c r="A29" t="inlineStr">
        <is>
          <t>M001</t>
        </is>
      </c>
      <c r="B29">
        <f>IFERROR(INDEX(Managers!$B:$B,MATCH(A29,Managers!$A:$A,0)),"")</f>
        <v/>
      </c>
      <c r="C29" t="inlineStr">
        <is>
          <t>QF_04</t>
        </is>
      </c>
      <c r="D29">
        <f>IFERROR(INDEX(Matches_2!$B:$B,MATCH(C29,Matches_2!$A:$A,0)),"")</f>
        <v/>
      </c>
      <c r="I29">
        <f>IF(OR(E29="",IFERROR(INDEX(Matches_2!$F:$F,MATCH(C29,Matches_2!$A:$A,0)),"")=""),0,IF(E29=IFERROR(INDEX(Matches_2!$F:$F,MATCH(C29,Matches_2!$A:$A,0)),""),Scoring_Constants!$B$6,0))</f>
        <v/>
      </c>
      <c r="J29">
        <f>IF(OR(F29="",IFERROR(INDEX(Matches_2!$G:$G,MATCH(C29,Matches_2!$A:$A,0)),"")=""),0,IF(ISNUMBER(SEARCH(F29,IFERROR(INDEX(Matches_2!$G:$G,MATCH(C29,Matches_2!$A:$A,0)),""))),Scoring_Constants!$B$7,0))</f>
        <v/>
      </c>
      <c r="K29">
        <f>IF(OR(G29="",IFERROR(INDEX(Matches_2!$G:$G,MATCH(C29,Matches_2!$A:$A,0)),"")=""),0,IF(AND(ISNUMBER(SEARCH(G29,IFERROR(INDEX(Matches_2!$G:$G,MATCH(C29,Matches_2!$A:$A,0)),""))),G29&lt;&gt;F29),Scoring_Constants!$B$7,0))</f>
        <v/>
      </c>
      <c r="L29">
        <f>IF(OR(H29="",IFERROR(INDEX(Matches_2!$H:$H,MATCH(C29,Matches_2!$A:$A,0)),"")=""),0,IF(H29=IFERROR(INDEX(Matches_2!$H:$H,MATCH(C29,Matches_2!$A:$A,0)),""),Scoring_Constants!$B$8,0))</f>
        <v/>
      </c>
      <c r="M29">
        <f>SUM(I29:L29)</f>
        <v/>
      </c>
      <c r="O29" t="b">
        <v>0</v>
      </c>
    </row>
    <row r="30">
      <c r="A30" t="inlineStr">
        <is>
          <t>M001</t>
        </is>
      </c>
      <c r="B30">
        <f>IFERROR(INDEX(Managers!$B:$B,MATCH(A30,Managers!$A:$A,0)),"")</f>
        <v/>
      </c>
      <c r="C30" t="inlineStr">
        <is>
          <t>SF_01</t>
        </is>
      </c>
      <c r="D30">
        <f>IFERROR(INDEX(Matches_2!$B:$B,MATCH(C30,Matches_2!$A:$A,0)),"")</f>
        <v/>
      </c>
      <c r="I30">
        <f>IF(OR(E30="",IFERROR(INDEX(Matches_2!$F:$F,MATCH(C30,Matches_2!$A:$A,0)),"")=""),0,IF(E30=IFERROR(INDEX(Matches_2!$F:$F,MATCH(C30,Matches_2!$A:$A,0)),""),Scoring_Constants!$B$6,0))</f>
        <v/>
      </c>
      <c r="J30">
        <f>IF(OR(F30="",IFERROR(INDEX(Matches_2!$G:$G,MATCH(C30,Matches_2!$A:$A,0)),"")=""),0,IF(ISNUMBER(SEARCH(F30,IFERROR(INDEX(Matches_2!$G:$G,MATCH(C30,Matches_2!$A:$A,0)),""))),Scoring_Constants!$B$7,0))</f>
        <v/>
      </c>
      <c r="K30">
        <f>IF(OR(G30="",IFERROR(INDEX(Matches_2!$G:$G,MATCH(C30,Matches_2!$A:$A,0)),"")=""),0,IF(AND(ISNUMBER(SEARCH(G30,IFERROR(INDEX(Matches_2!$G:$G,MATCH(C30,Matches_2!$A:$A,0)),""))),G30&lt;&gt;F30),Scoring_Constants!$B$7,0))</f>
        <v/>
      </c>
      <c r="L30">
        <f>IF(OR(H30="",IFERROR(INDEX(Matches_2!$H:$H,MATCH(C30,Matches_2!$A:$A,0)),"")=""),0,IF(H30=IFERROR(INDEX(Matches_2!$H:$H,MATCH(C30,Matches_2!$A:$A,0)),""),Scoring_Constants!$B$8,0))</f>
        <v/>
      </c>
      <c r="M30">
        <f>SUM(I30:L30)</f>
        <v/>
      </c>
      <c r="O30" t="b">
        <v>0</v>
      </c>
    </row>
    <row r="31">
      <c r="A31" t="inlineStr">
        <is>
          <t>M001</t>
        </is>
      </c>
      <c r="B31">
        <f>IFERROR(INDEX(Managers!$B:$B,MATCH(A31,Managers!$A:$A,0)),"")</f>
        <v/>
      </c>
      <c r="C31" t="inlineStr">
        <is>
          <t>SF_02</t>
        </is>
      </c>
      <c r="D31">
        <f>IFERROR(INDEX(Matches_2!$B:$B,MATCH(C31,Matches_2!$A:$A,0)),"")</f>
        <v/>
      </c>
      <c r="I31">
        <f>IF(OR(E31="",IFERROR(INDEX(Matches_2!$F:$F,MATCH(C31,Matches_2!$A:$A,0)),"")=""),0,IF(E31=IFERROR(INDEX(Matches_2!$F:$F,MATCH(C31,Matches_2!$A:$A,0)),""),Scoring_Constants!$B$6,0))</f>
        <v/>
      </c>
      <c r="J31">
        <f>IF(OR(F31="",IFERROR(INDEX(Matches_2!$G:$G,MATCH(C31,Matches_2!$A:$A,0)),"")=""),0,IF(ISNUMBER(SEARCH(F31,IFERROR(INDEX(Matches_2!$G:$G,MATCH(C31,Matches_2!$A:$A,0)),""))),Scoring_Constants!$B$7,0))</f>
        <v/>
      </c>
      <c r="K31">
        <f>IF(OR(G31="",IFERROR(INDEX(Matches_2!$G:$G,MATCH(C31,Matches_2!$A:$A,0)),"")=""),0,IF(AND(ISNUMBER(SEARCH(G31,IFERROR(INDEX(Matches_2!$G:$G,MATCH(C31,Matches_2!$A:$A,0)),""))),G31&lt;&gt;F31),Scoring_Constants!$B$7,0))</f>
        <v/>
      </c>
      <c r="L31">
        <f>IF(OR(H31="",IFERROR(INDEX(Matches_2!$H:$H,MATCH(C31,Matches_2!$A:$A,0)),"")=""),0,IF(H31=IFERROR(INDEX(Matches_2!$H:$H,MATCH(C31,Matches_2!$A:$A,0)),""),Scoring_Constants!$B$8,0))</f>
        <v/>
      </c>
      <c r="M31">
        <f>SUM(I31:L31)</f>
        <v/>
      </c>
      <c r="O31" t="b">
        <v>0</v>
      </c>
    </row>
    <row r="32">
      <c r="A32" t="inlineStr">
        <is>
          <t>M001</t>
        </is>
      </c>
      <c r="B32">
        <f>IFERROR(INDEX(Managers!$B:$B,MATCH(A32,Managers!$A:$A,0)),"")</f>
        <v/>
      </c>
      <c r="C32" t="inlineStr">
        <is>
          <t>F_01</t>
        </is>
      </c>
      <c r="D32">
        <f>IFERROR(INDEX(Matches_2!$B:$B,MATCH(C32,Matches_2!$A:$A,0)),"")</f>
        <v/>
      </c>
      <c r="I32">
        <f>IF(OR(E32="",IFERROR(INDEX(Matches_2!$F:$F,MATCH(C32,Matches_2!$A:$A,0)),"")=""),0,IF(E32=IFERROR(INDEX(Matches_2!$F:$F,MATCH(C32,Matches_2!$A:$A,0)),""),Scoring_Constants!$B$6,0))</f>
        <v/>
      </c>
      <c r="J32">
        <f>IF(OR(F32="",IFERROR(INDEX(Matches_2!$G:$G,MATCH(C32,Matches_2!$A:$A,0)),"")=""),0,IF(ISNUMBER(SEARCH(F32,IFERROR(INDEX(Matches_2!$G:$G,MATCH(C32,Matches_2!$A:$A,0)),""))),Scoring_Constants!$B$7,0))</f>
        <v/>
      </c>
      <c r="K32">
        <f>IF(OR(G32="",IFERROR(INDEX(Matches_2!$G:$G,MATCH(C32,Matches_2!$A:$A,0)),"")=""),0,IF(AND(ISNUMBER(SEARCH(G32,IFERROR(INDEX(Matches_2!$G:$G,MATCH(C32,Matches_2!$A:$A,0)),""))),G32&lt;&gt;F32),Scoring_Constants!$B$7,0))</f>
        <v/>
      </c>
      <c r="L32">
        <f>IF(OR(H32="",IFERROR(INDEX(Matches_2!$H:$H,MATCH(C32,Matches_2!$A:$A,0)),"")=""),0,IF(H32=IFERROR(INDEX(Matches_2!$H:$H,MATCH(C32,Matches_2!$A:$A,0)),""),Scoring_Constants!$B$8,0))</f>
        <v/>
      </c>
      <c r="M32">
        <f>SUM(I32:L32)</f>
        <v/>
      </c>
      <c r="O32" t="b">
        <v>0</v>
      </c>
    </row>
    <row r="33">
      <c r="A33" t="inlineStr">
        <is>
          <t>M002</t>
        </is>
      </c>
      <c r="B33">
        <f>IFERROR(INDEX(Managers!$B:$B,MATCH(A33,Managers!$A:$A,0)),"")</f>
        <v/>
      </c>
      <c r="C33" t="inlineStr">
        <is>
          <t>R32_01</t>
        </is>
      </c>
      <c r="D33">
        <f>IFERROR(INDEX(Matches_2!$B:$B,MATCH(C33,Matches_2!$A:$A,0)),"")</f>
        <v/>
      </c>
      <c r="I33">
        <f>IF(OR(E33="",IFERROR(INDEX(Matches_2!$F:$F,MATCH(C33,Matches_2!$A:$A,0)),"")=""),0,IF(E33=IFERROR(INDEX(Matches_2!$F:$F,MATCH(C33,Matches_2!$A:$A,0)),""),Scoring_Constants!$B$6,0))</f>
        <v/>
      </c>
      <c r="J33">
        <f>IF(OR(F33="",IFERROR(INDEX(Matches_2!$G:$G,MATCH(C33,Matches_2!$A:$A,0)),"")=""),0,IF(ISNUMBER(SEARCH(F33,IFERROR(INDEX(Matches_2!$G:$G,MATCH(C33,Matches_2!$A:$A,0)),""))),Scoring_Constants!$B$7,0))</f>
        <v/>
      </c>
      <c r="K33">
        <f>IF(OR(G33="",IFERROR(INDEX(Matches_2!$G:$G,MATCH(C33,Matches_2!$A:$A,0)),"")=""),0,IF(AND(ISNUMBER(SEARCH(G33,IFERROR(INDEX(Matches_2!$G:$G,MATCH(C33,Matches_2!$A:$A,0)),""))),G33&lt;&gt;F33),Scoring_Constants!$B$7,0))</f>
        <v/>
      </c>
      <c r="L33">
        <f>IF(OR(H33="",IFERROR(INDEX(Matches_2!$H:$H,MATCH(C33,Matches_2!$A:$A,0)),"")=""),0,IF(H33=IFERROR(INDEX(Matches_2!$H:$H,MATCH(C33,Matches_2!$A:$A,0)),""),Scoring_Constants!$B$8,0))</f>
        <v/>
      </c>
      <c r="M33">
        <f>SUM(I33:L33)</f>
        <v/>
      </c>
      <c r="O33" t="b">
        <v>0</v>
      </c>
    </row>
    <row r="34">
      <c r="A34" t="inlineStr">
        <is>
          <t>M002</t>
        </is>
      </c>
      <c r="B34">
        <f>IFERROR(INDEX(Managers!$B:$B,MATCH(A34,Managers!$A:$A,0)),"")</f>
        <v/>
      </c>
      <c r="C34" t="inlineStr">
        <is>
          <t>R32_02</t>
        </is>
      </c>
      <c r="D34">
        <f>IFERROR(INDEX(Matches_2!$B:$B,MATCH(C34,Matches_2!$A:$A,0)),"")</f>
        <v/>
      </c>
      <c r="I34">
        <f>IF(OR(E34="",IFERROR(INDEX(Matches_2!$F:$F,MATCH(C34,Matches_2!$A:$A,0)),"")=""),0,IF(E34=IFERROR(INDEX(Matches_2!$F:$F,MATCH(C34,Matches_2!$A:$A,0)),""),Scoring_Constants!$B$6,0))</f>
        <v/>
      </c>
      <c r="J34">
        <f>IF(OR(F34="",IFERROR(INDEX(Matches_2!$G:$G,MATCH(C34,Matches_2!$A:$A,0)),"")=""),0,IF(ISNUMBER(SEARCH(F34,IFERROR(INDEX(Matches_2!$G:$G,MATCH(C34,Matches_2!$A:$A,0)),""))),Scoring_Constants!$B$7,0))</f>
        <v/>
      </c>
      <c r="K34">
        <f>IF(OR(G34="",IFERROR(INDEX(Matches_2!$G:$G,MATCH(C34,Matches_2!$A:$A,0)),"")=""),0,IF(AND(ISNUMBER(SEARCH(G34,IFERROR(INDEX(Matches_2!$G:$G,MATCH(C34,Matches_2!$A:$A,0)),""))),G34&lt;&gt;F34),Scoring_Constants!$B$7,0))</f>
        <v/>
      </c>
      <c r="L34">
        <f>IF(OR(H34="",IFERROR(INDEX(Matches_2!$H:$H,MATCH(C34,Matches_2!$A:$A,0)),"")=""),0,IF(H34=IFERROR(INDEX(Matches_2!$H:$H,MATCH(C34,Matches_2!$A:$A,0)),""),Scoring_Constants!$B$8,0))</f>
        <v/>
      </c>
      <c r="M34">
        <f>SUM(I34:L34)</f>
        <v/>
      </c>
      <c r="O34" t="b">
        <v>0</v>
      </c>
    </row>
    <row r="35">
      <c r="A35" t="inlineStr">
        <is>
          <t>M002</t>
        </is>
      </c>
      <c r="B35">
        <f>IFERROR(INDEX(Managers!$B:$B,MATCH(A35,Managers!$A:$A,0)),"")</f>
        <v/>
      </c>
      <c r="C35" t="inlineStr">
        <is>
          <t>R32_03</t>
        </is>
      </c>
      <c r="D35">
        <f>IFERROR(INDEX(Matches_2!$B:$B,MATCH(C35,Matches_2!$A:$A,0)),"")</f>
        <v/>
      </c>
      <c r="I35">
        <f>IF(OR(E35="",IFERROR(INDEX(Matches_2!$F:$F,MATCH(C35,Matches_2!$A:$A,0)),"")=""),0,IF(E35=IFERROR(INDEX(Matches_2!$F:$F,MATCH(C35,Matches_2!$A:$A,0)),""),Scoring_Constants!$B$6,0))</f>
        <v/>
      </c>
      <c r="J35">
        <f>IF(OR(F35="",IFERROR(INDEX(Matches_2!$G:$G,MATCH(C35,Matches_2!$A:$A,0)),"")=""),0,IF(ISNUMBER(SEARCH(F35,IFERROR(INDEX(Matches_2!$G:$G,MATCH(C35,Matches_2!$A:$A,0)),""))),Scoring_Constants!$B$7,0))</f>
        <v/>
      </c>
      <c r="K35">
        <f>IF(OR(G35="",IFERROR(INDEX(Matches_2!$G:$G,MATCH(C35,Matches_2!$A:$A,0)),"")=""),0,IF(AND(ISNUMBER(SEARCH(G35,IFERROR(INDEX(Matches_2!$G:$G,MATCH(C35,Matches_2!$A:$A,0)),""))),G35&lt;&gt;F35),Scoring_Constants!$B$7,0))</f>
        <v/>
      </c>
      <c r="L35">
        <f>IF(OR(H35="",IFERROR(INDEX(Matches_2!$H:$H,MATCH(C35,Matches_2!$A:$A,0)),"")=""),0,IF(H35=IFERROR(INDEX(Matches_2!$H:$H,MATCH(C35,Matches_2!$A:$A,0)),""),Scoring_Constants!$B$8,0))</f>
        <v/>
      </c>
      <c r="M35">
        <f>SUM(I35:L35)</f>
        <v/>
      </c>
      <c r="O35" t="b">
        <v>0</v>
      </c>
    </row>
    <row r="36">
      <c r="A36" t="inlineStr">
        <is>
          <t>M002</t>
        </is>
      </c>
      <c r="B36">
        <f>IFERROR(INDEX(Managers!$B:$B,MATCH(A36,Managers!$A:$A,0)),"")</f>
        <v/>
      </c>
      <c r="C36" t="inlineStr">
        <is>
          <t>R32_04</t>
        </is>
      </c>
      <c r="D36">
        <f>IFERROR(INDEX(Matches_2!$B:$B,MATCH(C36,Matches_2!$A:$A,0)),"")</f>
        <v/>
      </c>
      <c r="I36">
        <f>IF(OR(E36="",IFERROR(INDEX(Matches_2!$F:$F,MATCH(C36,Matches_2!$A:$A,0)),"")=""),0,IF(E36=IFERROR(INDEX(Matches_2!$F:$F,MATCH(C36,Matches_2!$A:$A,0)),""),Scoring_Constants!$B$6,0))</f>
        <v/>
      </c>
      <c r="J36">
        <f>IF(OR(F36="",IFERROR(INDEX(Matches_2!$G:$G,MATCH(C36,Matches_2!$A:$A,0)),"")=""),0,IF(ISNUMBER(SEARCH(F36,IFERROR(INDEX(Matches_2!$G:$G,MATCH(C36,Matches_2!$A:$A,0)),""))),Scoring_Constants!$B$7,0))</f>
        <v/>
      </c>
      <c r="K36">
        <f>IF(OR(G36="",IFERROR(INDEX(Matches_2!$G:$G,MATCH(C36,Matches_2!$A:$A,0)),"")=""),0,IF(AND(ISNUMBER(SEARCH(G36,IFERROR(INDEX(Matches_2!$G:$G,MATCH(C36,Matches_2!$A:$A,0)),""))),G36&lt;&gt;F36),Scoring_Constants!$B$7,0))</f>
        <v/>
      </c>
      <c r="L36">
        <f>IF(OR(H36="",IFERROR(INDEX(Matches_2!$H:$H,MATCH(C36,Matches_2!$A:$A,0)),"")=""),0,IF(H36=IFERROR(INDEX(Matches_2!$H:$H,MATCH(C36,Matches_2!$A:$A,0)),""),Scoring_Constants!$B$8,0))</f>
        <v/>
      </c>
      <c r="M36">
        <f>SUM(I36:L36)</f>
        <v/>
      </c>
      <c r="O36" t="b">
        <v>0</v>
      </c>
    </row>
    <row r="37">
      <c r="A37" t="inlineStr">
        <is>
          <t>M002</t>
        </is>
      </c>
      <c r="B37">
        <f>IFERROR(INDEX(Managers!$B:$B,MATCH(A37,Managers!$A:$A,0)),"")</f>
        <v/>
      </c>
      <c r="C37" t="inlineStr">
        <is>
          <t>R32_05</t>
        </is>
      </c>
      <c r="D37">
        <f>IFERROR(INDEX(Matches_2!$B:$B,MATCH(C37,Matches_2!$A:$A,0)),"")</f>
        <v/>
      </c>
      <c r="I37">
        <f>IF(OR(E37="",IFERROR(INDEX(Matches_2!$F:$F,MATCH(C37,Matches_2!$A:$A,0)),"")=""),0,IF(E37=IFERROR(INDEX(Matches_2!$F:$F,MATCH(C37,Matches_2!$A:$A,0)),""),Scoring_Constants!$B$6,0))</f>
        <v/>
      </c>
      <c r="J37">
        <f>IF(OR(F37="",IFERROR(INDEX(Matches_2!$G:$G,MATCH(C37,Matches_2!$A:$A,0)),"")=""),0,IF(ISNUMBER(SEARCH(F37,IFERROR(INDEX(Matches_2!$G:$G,MATCH(C37,Matches_2!$A:$A,0)),""))),Scoring_Constants!$B$7,0))</f>
        <v/>
      </c>
      <c r="K37">
        <f>IF(OR(G37="",IFERROR(INDEX(Matches_2!$G:$G,MATCH(C37,Matches_2!$A:$A,0)),"")=""),0,IF(AND(ISNUMBER(SEARCH(G37,IFERROR(INDEX(Matches_2!$G:$G,MATCH(C37,Matches_2!$A:$A,0)),""))),G37&lt;&gt;F37),Scoring_Constants!$B$7,0))</f>
        <v/>
      </c>
      <c r="L37">
        <f>IF(OR(H37="",IFERROR(INDEX(Matches_2!$H:$H,MATCH(C37,Matches_2!$A:$A,0)),"")=""),0,IF(H37=IFERROR(INDEX(Matches_2!$H:$H,MATCH(C37,Matches_2!$A:$A,0)),""),Scoring_Constants!$B$8,0))</f>
        <v/>
      </c>
      <c r="M37">
        <f>SUM(I37:L37)</f>
        <v/>
      </c>
      <c r="O37" t="b">
        <v>0</v>
      </c>
    </row>
    <row r="38">
      <c r="A38" t="inlineStr">
        <is>
          <t>M002</t>
        </is>
      </c>
      <c r="B38">
        <f>IFERROR(INDEX(Managers!$B:$B,MATCH(A38,Managers!$A:$A,0)),"")</f>
        <v/>
      </c>
      <c r="C38" t="inlineStr">
        <is>
          <t>R32_06</t>
        </is>
      </c>
      <c r="D38">
        <f>IFERROR(INDEX(Matches_2!$B:$B,MATCH(C38,Matches_2!$A:$A,0)),"")</f>
        <v/>
      </c>
      <c r="I38">
        <f>IF(OR(E38="",IFERROR(INDEX(Matches_2!$F:$F,MATCH(C38,Matches_2!$A:$A,0)),"")=""),0,IF(E38=IFERROR(INDEX(Matches_2!$F:$F,MATCH(C38,Matches_2!$A:$A,0)),""),Scoring_Constants!$B$6,0))</f>
        <v/>
      </c>
      <c r="J38">
        <f>IF(OR(F38="",IFERROR(INDEX(Matches_2!$G:$G,MATCH(C38,Matches_2!$A:$A,0)),"")=""),0,IF(ISNUMBER(SEARCH(F38,IFERROR(INDEX(Matches_2!$G:$G,MATCH(C38,Matches_2!$A:$A,0)),""))),Scoring_Constants!$B$7,0))</f>
        <v/>
      </c>
      <c r="K38">
        <f>IF(OR(G38="",IFERROR(INDEX(Matches_2!$G:$G,MATCH(C38,Matches_2!$A:$A,0)),"")=""),0,IF(AND(ISNUMBER(SEARCH(G38,IFERROR(INDEX(Matches_2!$G:$G,MATCH(C38,Matches_2!$A:$A,0)),""))),G38&lt;&gt;F38),Scoring_Constants!$B$7,0))</f>
        <v/>
      </c>
      <c r="L38">
        <f>IF(OR(H38="",IFERROR(INDEX(Matches_2!$H:$H,MATCH(C38,Matches_2!$A:$A,0)),"")=""),0,IF(H38=IFERROR(INDEX(Matches_2!$H:$H,MATCH(C38,Matches_2!$A:$A,0)),""),Scoring_Constants!$B$8,0))</f>
        <v/>
      </c>
      <c r="M38">
        <f>SUM(I38:L38)</f>
        <v/>
      </c>
      <c r="O38" t="b">
        <v>0</v>
      </c>
    </row>
    <row r="39">
      <c r="A39" t="inlineStr">
        <is>
          <t>M002</t>
        </is>
      </c>
      <c r="B39">
        <f>IFERROR(INDEX(Managers!$B:$B,MATCH(A39,Managers!$A:$A,0)),"")</f>
        <v/>
      </c>
      <c r="C39" t="inlineStr">
        <is>
          <t>R32_07</t>
        </is>
      </c>
      <c r="D39">
        <f>IFERROR(INDEX(Matches_2!$B:$B,MATCH(C39,Matches_2!$A:$A,0)),"")</f>
        <v/>
      </c>
      <c r="I39">
        <f>IF(OR(E39="",IFERROR(INDEX(Matches_2!$F:$F,MATCH(C39,Matches_2!$A:$A,0)),"")=""),0,IF(E39=IFERROR(INDEX(Matches_2!$F:$F,MATCH(C39,Matches_2!$A:$A,0)),""),Scoring_Constants!$B$6,0))</f>
        <v/>
      </c>
      <c r="J39">
        <f>IF(OR(F39="",IFERROR(INDEX(Matches_2!$G:$G,MATCH(C39,Matches_2!$A:$A,0)),"")=""),0,IF(ISNUMBER(SEARCH(F39,IFERROR(INDEX(Matches_2!$G:$G,MATCH(C39,Matches_2!$A:$A,0)),""))),Scoring_Constants!$B$7,0))</f>
        <v/>
      </c>
      <c r="K39">
        <f>IF(OR(G39="",IFERROR(INDEX(Matches_2!$G:$G,MATCH(C39,Matches_2!$A:$A,0)),"")=""),0,IF(AND(ISNUMBER(SEARCH(G39,IFERROR(INDEX(Matches_2!$G:$G,MATCH(C39,Matches_2!$A:$A,0)),""))),G39&lt;&gt;F39),Scoring_Constants!$B$7,0))</f>
        <v/>
      </c>
      <c r="L39">
        <f>IF(OR(H39="",IFERROR(INDEX(Matches_2!$H:$H,MATCH(C39,Matches_2!$A:$A,0)),"")=""),0,IF(H39=IFERROR(INDEX(Matches_2!$H:$H,MATCH(C39,Matches_2!$A:$A,0)),""),Scoring_Constants!$B$8,0))</f>
        <v/>
      </c>
      <c r="M39">
        <f>SUM(I39:L39)</f>
        <v/>
      </c>
      <c r="O39" t="b">
        <v>0</v>
      </c>
    </row>
    <row r="40">
      <c r="A40" t="inlineStr">
        <is>
          <t>M002</t>
        </is>
      </c>
      <c r="B40">
        <f>IFERROR(INDEX(Managers!$B:$B,MATCH(A40,Managers!$A:$A,0)),"")</f>
        <v/>
      </c>
      <c r="C40" t="inlineStr">
        <is>
          <t>R32_08</t>
        </is>
      </c>
      <c r="D40">
        <f>IFERROR(INDEX(Matches_2!$B:$B,MATCH(C40,Matches_2!$A:$A,0)),"")</f>
        <v/>
      </c>
      <c r="I40">
        <f>IF(OR(E40="",IFERROR(INDEX(Matches_2!$F:$F,MATCH(C40,Matches_2!$A:$A,0)),"")=""),0,IF(E40=IFERROR(INDEX(Matches_2!$F:$F,MATCH(C40,Matches_2!$A:$A,0)),""),Scoring_Constants!$B$6,0))</f>
        <v/>
      </c>
      <c r="J40">
        <f>IF(OR(F40="",IFERROR(INDEX(Matches_2!$G:$G,MATCH(C40,Matches_2!$A:$A,0)),"")=""),0,IF(ISNUMBER(SEARCH(F40,IFERROR(INDEX(Matches_2!$G:$G,MATCH(C40,Matches_2!$A:$A,0)),""))),Scoring_Constants!$B$7,0))</f>
        <v/>
      </c>
      <c r="K40">
        <f>IF(OR(G40="",IFERROR(INDEX(Matches_2!$G:$G,MATCH(C40,Matches_2!$A:$A,0)),"")=""),0,IF(AND(ISNUMBER(SEARCH(G40,IFERROR(INDEX(Matches_2!$G:$G,MATCH(C40,Matches_2!$A:$A,0)),""))),G40&lt;&gt;F40),Scoring_Constants!$B$7,0))</f>
        <v/>
      </c>
      <c r="L40">
        <f>IF(OR(H40="",IFERROR(INDEX(Matches_2!$H:$H,MATCH(C40,Matches_2!$A:$A,0)),"")=""),0,IF(H40=IFERROR(INDEX(Matches_2!$H:$H,MATCH(C40,Matches_2!$A:$A,0)),""),Scoring_Constants!$B$8,0))</f>
        <v/>
      </c>
      <c r="M40">
        <f>SUM(I40:L40)</f>
        <v/>
      </c>
      <c r="O40" t="b">
        <v>0</v>
      </c>
    </row>
    <row r="41">
      <c r="A41" t="inlineStr">
        <is>
          <t>M002</t>
        </is>
      </c>
      <c r="B41">
        <f>IFERROR(INDEX(Managers!$B:$B,MATCH(A41,Managers!$A:$A,0)),"")</f>
        <v/>
      </c>
      <c r="C41" t="inlineStr">
        <is>
          <t>R32_09</t>
        </is>
      </c>
      <c r="D41">
        <f>IFERROR(INDEX(Matches_2!$B:$B,MATCH(C41,Matches_2!$A:$A,0)),"")</f>
        <v/>
      </c>
      <c r="I41">
        <f>IF(OR(E41="",IFERROR(INDEX(Matches_2!$F:$F,MATCH(C41,Matches_2!$A:$A,0)),"")=""),0,IF(E41=IFERROR(INDEX(Matches_2!$F:$F,MATCH(C41,Matches_2!$A:$A,0)),""),Scoring_Constants!$B$6,0))</f>
        <v/>
      </c>
      <c r="J41">
        <f>IF(OR(F41="",IFERROR(INDEX(Matches_2!$G:$G,MATCH(C41,Matches_2!$A:$A,0)),"")=""),0,IF(ISNUMBER(SEARCH(F41,IFERROR(INDEX(Matches_2!$G:$G,MATCH(C41,Matches_2!$A:$A,0)),""))),Scoring_Constants!$B$7,0))</f>
        <v/>
      </c>
      <c r="K41">
        <f>IF(OR(G41="",IFERROR(INDEX(Matches_2!$G:$G,MATCH(C41,Matches_2!$A:$A,0)),"")=""),0,IF(AND(ISNUMBER(SEARCH(G41,IFERROR(INDEX(Matches_2!$G:$G,MATCH(C41,Matches_2!$A:$A,0)),""))),G41&lt;&gt;F41),Scoring_Constants!$B$7,0))</f>
        <v/>
      </c>
      <c r="L41">
        <f>IF(OR(H41="",IFERROR(INDEX(Matches_2!$H:$H,MATCH(C41,Matches_2!$A:$A,0)),"")=""),0,IF(H41=IFERROR(INDEX(Matches_2!$H:$H,MATCH(C41,Matches_2!$A:$A,0)),""),Scoring_Constants!$B$8,0))</f>
        <v/>
      </c>
      <c r="M41">
        <f>SUM(I41:L41)</f>
        <v/>
      </c>
      <c r="O41" t="b">
        <v>0</v>
      </c>
    </row>
    <row r="42">
      <c r="A42" t="inlineStr">
        <is>
          <t>M002</t>
        </is>
      </c>
      <c r="B42">
        <f>IFERROR(INDEX(Managers!$B:$B,MATCH(A42,Managers!$A:$A,0)),"")</f>
        <v/>
      </c>
      <c r="C42" t="inlineStr">
        <is>
          <t>R32_10</t>
        </is>
      </c>
      <c r="D42">
        <f>IFERROR(INDEX(Matches_2!$B:$B,MATCH(C42,Matches_2!$A:$A,0)),"")</f>
        <v/>
      </c>
      <c r="I42">
        <f>IF(OR(E42="",IFERROR(INDEX(Matches_2!$F:$F,MATCH(C42,Matches_2!$A:$A,0)),"")=""),0,IF(E42=IFERROR(INDEX(Matches_2!$F:$F,MATCH(C42,Matches_2!$A:$A,0)),""),Scoring_Constants!$B$6,0))</f>
        <v/>
      </c>
      <c r="J42">
        <f>IF(OR(F42="",IFERROR(INDEX(Matches_2!$G:$G,MATCH(C42,Matches_2!$A:$A,0)),"")=""),0,IF(ISNUMBER(SEARCH(F42,IFERROR(INDEX(Matches_2!$G:$G,MATCH(C42,Matches_2!$A:$A,0)),""))),Scoring_Constants!$B$7,0))</f>
        <v/>
      </c>
      <c r="K42">
        <f>IF(OR(G42="",IFERROR(INDEX(Matches_2!$G:$G,MATCH(C42,Matches_2!$A:$A,0)),"")=""),0,IF(AND(ISNUMBER(SEARCH(G42,IFERROR(INDEX(Matches_2!$G:$G,MATCH(C42,Matches_2!$A:$A,0)),""))),G42&lt;&gt;F42),Scoring_Constants!$B$7,0))</f>
        <v/>
      </c>
      <c r="L42">
        <f>IF(OR(H42="",IFERROR(INDEX(Matches_2!$H:$H,MATCH(C42,Matches_2!$A:$A,0)),"")=""),0,IF(H42=IFERROR(INDEX(Matches_2!$H:$H,MATCH(C42,Matches_2!$A:$A,0)),""),Scoring_Constants!$B$8,0))</f>
        <v/>
      </c>
      <c r="M42">
        <f>SUM(I42:L42)</f>
        <v/>
      </c>
      <c r="O42" t="b">
        <v>0</v>
      </c>
    </row>
    <row r="43">
      <c r="A43" t="inlineStr">
        <is>
          <t>M002</t>
        </is>
      </c>
      <c r="B43">
        <f>IFERROR(INDEX(Managers!$B:$B,MATCH(A43,Managers!$A:$A,0)),"")</f>
        <v/>
      </c>
      <c r="C43" t="inlineStr">
        <is>
          <t>R32_11</t>
        </is>
      </c>
      <c r="D43">
        <f>IFERROR(INDEX(Matches_2!$B:$B,MATCH(C43,Matches_2!$A:$A,0)),"")</f>
        <v/>
      </c>
      <c r="I43">
        <f>IF(OR(E43="",IFERROR(INDEX(Matches_2!$F:$F,MATCH(C43,Matches_2!$A:$A,0)),"")=""),0,IF(E43=IFERROR(INDEX(Matches_2!$F:$F,MATCH(C43,Matches_2!$A:$A,0)),""),Scoring_Constants!$B$6,0))</f>
        <v/>
      </c>
      <c r="J43">
        <f>IF(OR(F43="",IFERROR(INDEX(Matches_2!$G:$G,MATCH(C43,Matches_2!$A:$A,0)),"")=""),0,IF(ISNUMBER(SEARCH(F43,IFERROR(INDEX(Matches_2!$G:$G,MATCH(C43,Matches_2!$A:$A,0)),""))),Scoring_Constants!$B$7,0))</f>
        <v/>
      </c>
      <c r="K43">
        <f>IF(OR(G43="",IFERROR(INDEX(Matches_2!$G:$G,MATCH(C43,Matches_2!$A:$A,0)),"")=""),0,IF(AND(ISNUMBER(SEARCH(G43,IFERROR(INDEX(Matches_2!$G:$G,MATCH(C43,Matches_2!$A:$A,0)),""))),G43&lt;&gt;F43),Scoring_Constants!$B$7,0))</f>
        <v/>
      </c>
      <c r="L43">
        <f>IF(OR(H43="",IFERROR(INDEX(Matches_2!$H:$H,MATCH(C43,Matches_2!$A:$A,0)),"")=""),0,IF(H43=IFERROR(INDEX(Matches_2!$H:$H,MATCH(C43,Matches_2!$A:$A,0)),""),Scoring_Constants!$B$8,0))</f>
        <v/>
      </c>
      <c r="M43">
        <f>SUM(I43:L43)</f>
        <v/>
      </c>
      <c r="O43" t="b">
        <v>0</v>
      </c>
    </row>
    <row r="44">
      <c r="A44" t="inlineStr">
        <is>
          <t>M002</t>
        </is>
      </c>
      <c r="B44">
        <f>IFERROR(INDEX(Managers!$B:$B,MATCH(A44,Managers!$A:$A,0)),"")</f>
        <v/>
      </c>
      <c r="C44" t="inlineStr">
        <is>
          <t>R32_12</t>
        </is>
      </c>
      <c r="D44">
        <f>IFERROR(INDEX(Matches_2!$B:$B,MATCH(C44,Matches_2!$A:$A,0)),"")</f>
        <v/>
      </c>
      <c r="I44">
        <f>IF(OR(E44="",IFERROR(INDEX(Matches_2!$F:$F,MATCH(C44,Matches_2!$A:$A,0)),"")=""),0,IF(E44=IFERROR(INDEX(Matches_2!$F:$F,MATCH(C44,Matches_2!$A:$A,0)),""),Scoring_Constants!$B$6,0))</f>
        <v/>
      </c>
      <c r="J44">
        <f>IF(OR(F44="",IFERROR(INDEX(Matches_2!$G:$G,MATCH(C44,Matches_2!$A:$A,0)),"")=""),0,IF(ISNUMBER(SEARCH(F44,IFERROR(INDEX(Matches_2!$G:$G,MATCH(C44,Matches_2!$A:$A,0)),""))),Scoring_Constants!$B$7,0))</f>
        <v/>
      </c>
      <c r="K44">
        <f>IF(OR(G44="",IFERROR(INDEX(Matches_2!$G:$G,MATCH(C44,Matches_2!$A:$A,0)),"")=""),0,IF(AND(ISNUMBER(SEARCH(G44,IFERROR(INDEX(Matches_2!$G:$G,MATCH(C44,Matches_2!$A:$A,0)),""))),G44&lt;&gt;F44),Scoring_Constants!$B$7,0))</f>
        <v/>
      </c>
      <c r="L44">
        <f>IF(OR(H44="",IFERROR(INDEX(Matches_2!$H:$H,MATCH(C44,Matches_2!$A:$A,0)),"")=""),0,IF(H44=IFERROR(INDEX(Matches_2!$H:$H,MATCH(C44,Matches_2!$A:$A,0)),""),Scoring_Constants!$B$8,0))</f>
        <v/>
      </c>
      <c r="M44">
        <f>SUM(I44:L44)</f>
        <v/>
      </c>
      <c r="O44" t="b">
        <v>0</v>
      </c>
    </row>
    <row r="45">
      <c r="A45" t="inlineStr">
        <is>
          <t>M002</t>
        </is>
      </c>
      <c r="B45">
        <f>IFERROR(INDEX(Managers!$B:$B,MATCH(A45,Managers!$A:$A,0)),"")</f>
        <v/>
      </c>
      <c r="C45" t="inlineStr">
        <is>
          <t>R32_13</t>
        </is>
      </c>
      <c r="D45">
        <f>IFERROR(INDEX(Matches_2!$B:$B,MATCH(C45,Matches_2!$A:$A,0)),"")</f>
        <v/>
      </c>
      <c r="I45">
        <f>IF(OR(E45="",IFERROR(INDEX(Matches_2!$F:$F,MATCH(C45,Matches_2!$A:$A,0)),"")=""),0,IF(E45=IFERROR(INDEX(Matches_2!$F:$F,MATCH(C45,Matches_2!$A:$A,0)),""),Scoring_Constants!$B$6,0))</f>
        <v/>
      </c>
      <c r="J45">
        <f>IF(OR(F45="",IFERROR(INDEX(Matches_2!$G:$G,MATCH(C45,Matches_2!$A:$A,0)),"")=""),0,IF(ISNUMBER(SEARCH(F45,IFERROR(INDEX(Matches_2!$G:$G,MATCH(C45,Matches_2!$A:$A,0)),""))),Scoring_Constants!$B$7,0))</f>
        <v/>
      </c>
      <c r="K45">
        <f>IF(OR(G45="",IFERROR(INDEX(Matches_2!$G:$G,MATCH(C45,Matches_2!$A:$A,0)),"")=""),0,IF(AND(ISNUMBER(SEARCH(G45,IFERROR(INDEX(Matches_2!$G:$G,MATCH(C45,Matches_2!$A:$A,0)),""))),G45&lt;&gt;F45),Scoring_Constants!$B$7,0))</f>
        <v/>
      </c>
      <c r="L45">
        <f>IF(OR(H45="",IFERROR(INDEX(Matches_2!$H:$H,MATCH(C45,Matches_2!$A:$A,0)),"")=""),0,IF(H45=IFERROR(INDEX(Matches_2!$H:$H,MATCH(C45,Matches_2!$A:$A,0)),""),Scoring_Constants!$B$8,0))</f>
        <v/>
      </c>
      <c r="M45">
        <f>SUM(I45:L45)</f>
        <v/>
      </c>
      <c r="O45" t="b">
        <v>0</v>
      </c>
    </row>
    <row r="46">
      <c r="A46" t="inlineStr">
        <is>
          <t>M002</t>
        </is>
      </c>
      <c r="B46">
        <f>IFERROR(INDEX(Managers!$B:$B,MATCH(A46,Managers!$A:$A,0)),"")</f>
        <v/>
      </c>
      <c r="C46" t="inlineStr">
        <is>
          <t>R32_14</t>
        </is>
      </c>
      <c r="D46">
        <f>IFERROR(INDEX(Matches_2!$B:$B,MATCH(C46,Matches_2!$A:$A,0)),"")</f>
        <v/>
      </c>
      <c r="I46">
        <f>IF(OR(E46="",IFERROR(INDEX(Matches_2!$F:$F,MATCH(C46,Matches_2!$A:$A,0)),"")=""),0,IF(E46=IFERROR(INDEX(Matches_2!$F:$F,MATCH(C46,Matches_2!$A:$A,0)),""),Scoring_Constants!$B$6,0))</f>
        <v/>
      </c>
      <c r="J46">
        <f>IF(OR(F46="",IFERROR(INDEX(Matches_2!$G:$G,MATCH(C46,Matches_2!$A:$A,0)),"")=""),0,IF(ISNUMBER(SEARCH(F46,IFERROR(INDEX(Matches_2!$G:$G,MATCH(C46,Matches_2!$A:$A,0)),""))),Scoring_Constants!$B$7,0))</f>
        <v/>
      </c>
      <c r="K46">
        <f>IF(OR(G46="",IFERROR(INDEX(Matches_2!$G:$G,MATCH(C46,Matches_2!$A:$A,0)),"")=""),0,IF(AND(ISNUMBER(SEARCH(G46,IFERROR(INDEX(Matches_2!$G:$G,MATCH(C46,Matches_2!$A:$A,0)),""))),G46&lt;&gt;F46),Scoring_Constants!$B$7,0))</f>
        <v/>
      </c>
      <c r="L46">
        <f>IF(OR(H46="",IFERROR(INDEX(Matches_2!$H:$H,MATCH(C46,Matches_2!$A:$A,0)),"")=""),0,IF(H46=IFERROR(INDEX(Matches_2!$H:$H,MATCH(C46,Matches_2!$A:$A,0)),""),Scoring_Constants!$B$8,0))</f>
        <v/>
      </c>
      <c r="M46">
        <f>SUM(I46:L46)</f>
        <v/>
      </c>
      <c r="O46" t="b">
        <v>0</v>
      </c>
    </row>
    <row r="47">
      <c r="A47" t="inlineStr">
        <is>
          <t>M002</t>
        </is>
      </c>
      <c r="B47">
        <f>IFERROR(INDEX(Managers!$B:$B,MATCH(A47,Managers!$A:$A,0)),"")</f>
        <v/>
      </c>
      <c r="C47" t="inlineStr">
        <is>
          <t>R32_15</t>
        </is>
      </c>
      <c r="D47">
        <f>IFERROR(INDEX(Matches_2!$B:$B,MATCH(C47,Matches_2!$A:$A,0)),"")</f>
        <v/>
      </c>
      <c r="I47">
        <f>IF(OR(E47="",IFERROR(INDEX(Matches_2!$F:$F,MATCH(C47,Matches_2!$A:$A,0)),"")=""),0,IF(E47=IFERROR(INDEX(Matches_2!$F:$F,MATCH(C47,Matches_2!$A:$A,0)),""),Scoring_Constants!$B$6,0))</f>
        <v/>
      </c>
      <c r="J47">
        <f>IF(OR(F47="",IFERROR(INDEX(Matches_2!$G:$G,MATCH(C47,Matches_2!$A:$A,0)),"")=""),0,IF(ISNUMBER(SEARCH(F47,IFERROR(INDEX(Matches_2!$G:$G,MATCH(C47,Matches_2!$A:$A,0)),""))),Scoring_Constants!$B$7,0))</f>
        <v/>
      </c>
      <c r="K47">
        <f>IF(OR(G47="",IFERROR(INDEX(Matches_2!$G:$G,MATCH(C47,Matches_2!$A:$A,0)),"")=""),0,IF(AND(ISNUMBER(SEARCH(G47,IFERROR(INDEX(Matches_2!$G:$G,MATCH(C47,Matches_2!$A:$A,0)),""))),G47&lt;&gt;F47),Scoring_Constants!$B$7,0))</f>
        <v/>
      </c>
      <c r="L47">
        <f>IF(OR(H47="",IFERROR(INDEX(Matches_2!$H:$H,MATCH(C47,Matches_2!$A:$A,0)),"")=""),0,IF(H47=IFERROR(INDEX(Matches_2!$H:$H,MATCH(C47,Matches_2!$A:$A,0)),""),Scoring_Constants!$B$8,0))</f>
        <v/>
      </c>
      <c r="M47">
        <f>SUM(I47:L47)</f>
        <v/>
      </c>
      <c r="O47" t="b">
        <v>0</v>
      </c>
    </row>
    <row r="48">
      <c r="A48" t="inlineStr">
        <is>
          <t>M002</t>
        </is>
      </c>
      <c r="B48">
        <f>IFERROR(INDEX(Managers!$B:$B,MATCH(A48,Managers!$A:$A,0)),"")</f>
        <v/>
      </c>
      <c r="C48" t="inlineStr">
        <is>
          <t>R32_16</t>
        </is>
      </c>
      <c r="D48">
        <f>IFERROR(INDEX(Matches_2!$B:$B,MATCH(C48,Matches_2!$A:$A,0)),"")</f>
        <v/>
      </c>
      <c r="I48">
        <f>IF(OR(E48="",IFERROR(INDEX(Matches_2!$F:$F,MATCH(C48,Matches_2!$A:$A,0)),"")=""),0,IF(E48=IFERROR(INDEX(Matches_2!$F:$F,MATCH(C48,Matches_2!$A:$A,0)),""),Scoring_Constants!$B$6,0))</f>
        <v/>
      </c>
      <c r="J48">
        <f>IF(OR(F48="",IFERROR(INDEX(Matches_2!$G:$G,MATCH(C48,Matches_2!$A:$A,0)),"")=""),0,IF(ISNUMBER(SEARCH(F48,IFERROR(INDEX(Matches_2!$G:$G,MATCH(C48,Matches_2!$A:$A,0)),""))),Scoring_Constants!$B$7,0))</f>
        <v/>
      </c>
      <c r="K48">
        <f>IF(OR(G48="",IFERROR(INDEX(Matches_2!$G:$G,MATCH(C48,Matches_2!$A:$A,0)),"")=""),0,IF(AND(ISNUMBER(SEARCH(G48,IFERROR(INDEX(Matches_2!$G:$G,MATCH(C48,Matches_2!$A:$A,0)),""))),G48&lt;&gt;F48),Scoring_Constants!$B$7,0))</f>
        <v/>
      </c>
      <c r="L48">
        <f>IF(OR(H48="",IFERROR(INDEX(Matches_2!$H:$H,MATCH(C48,Matches_2!$A:$A,0)),"")=""),0,IF(H48=IFERROR(INDEX(Matches_2!$H:$H,MATCH(C48,Matches_2!$A:$A,0)),""),Scoring_Constants!$B$8,0))</f>
        <v/>
      </c>
      <c r="M48">
        <f>SUM(I48:L48)</f>
        <v/>
      </c>
      <c r="O48" t="b">
        <v>0</v>
      </c>
    </row>
    <row r="49">
      <c r="A49" t="inlineStr">
        <is>
          <t>M002</t>
        </is>
      </c>
      <c r="B49">
        <f>IFERROR(INDEX(Managers!$B:$B,MATCH(A49,Managers!$A:$A,0)),"")</f>
        <v/>
      </c>
      <c r="C49" t="inlineStr">
        <is>
          <t>R16_01</t>
        </is>
      </c>
      <c r="D49">
        <f>IFERROR(INDEX(Matches_2!$B:$B,MATCH(C49,Matches_2!$A:$A,0)),"")</f>
        <v/>
      </c>
      <c r="I49">
        <f>IF(OR(E49="",IFERROR(INDEX(Matches_2!$F:$F,MATCH(C49,Matches_2!$A:$A,0)),"")=""),0,IF(E49=IFERROR(INDEX(Matches_2!$F:$F,MATCH(C49,Matches_2!$A:$A,0)),""),Scoring_Constants!$B$6,0))</f>
        <v/>
      </c>
      <c r="J49">
        <f>IF(OR(F49="",IFERROR(INDEX(Matches_2!$G:$G,MATCH(C49,Matches_2!$A:$A,0)),"")=""),0,IF(ISNUMBER(SEARCH(F49,IFERROR(INDEX(Matches_2!$G:$G,MATCH(C49,Matches_2!$A:$A,0)),""))),Scoring_Constants!$B$7,0))</f>
        <v/>
      </c>
      <c r="K49">
        <f>IF(OR(G49="",IFERROR(INDEX(Matches_2!$G:$G,MATCH(C49,Matches_2!$A:$A,0)),"")=""),0,IF(AND(ISNUMBER(SEARCH(G49,IFERROR(INDEX(Matches_2!$G:$G,MATCH(C49,Matches_2!$A:$A,0)),""))),G49&lt;&gt;F49),Scoring_Constants!$B$7,0))</f>
        <v/>
      </c>
      <c r="L49">
        <f>IF(OR(H49="",IFERROR(INDEX(Matches_2!$H:$H,MATCH(C49,Matches_2!$A:$A,0)),"")=""),0,IF(H49=IFERROR(INDEX(Matches_2!$H:$H,MATCH(C49,Matches_2!$A:$A,0)),""),Scoring_Constants!$B$8,0))</f>
        <v/>
      </c>
      <c r="M49">
        <f>SUM(I49:L49)</f>
        <v/>
      </c>
      <c r="O49" t="b">
        <v>0</v>
      </c>
    </row>
    <row r="50">
      <c r="A50" t="inlineStr">
        <is>
          <t>M002</t>
        </is>
      </c>
      <c r="B50">
        <f>IFERROR(INDEX(Managers!$B:$B,MATCH(A50,Managers!$A:$A,0)),"")</f>
        <v/>
      </c>
      <c r="C50" t="inlineStr">
        <is>
          <t>R16_02</t>
        </is>
      </c>
      <c r="D50">
        <f>IFERROR(INDEX(Matches_2!$B:$B,MATCH(C50,Matches_2!$A:$A,0)),"")</f>
        <v/>
      </c>
      <c r="I50">
        <f>IF(OR(E50="",IFERROR(INDEX(Matches_2!$F:$F,MATCH(C50,Matches_2!$A:$A,0)),"")=""),0,IF(E50=IFERROR(INDEX(Matches_2!$F:$F,MATCH(C50,Matches_2!$A:$A,0)),""),Scoring_Constants!$B$6,0))</f>
        <v/>
      </c>
      <c r="J50">
        <f>IF(OR(F50="",IFERROR(INDEX(Matches_2!$G:$G,MATCH(C50,Matches_2!$A:$A,0)),"")=""),0,IF(ISNUMBER(SEARCH(F50,IFERROR(INDEX(Matches_2!$G:$G,MATCH(C50,Matches_2!$A:$A,0)),""))),Scoring_Constants!$B$7,0))</f>
        <v/>
      </c>
      <c r="K50">
        <f>IF(OR(G50="",IFERROR(INDEX(Matches_2!$G:$G,MATCH(C50,Matches_2!$A:$A,0)),"")=""),0,IF(AND(ISNUMBER(SEARCH(G50,IFERROR(INDEX(Matches_2!$G:$G,MATCH(C50,Matches_2!$A:$A,0)),""))),G50&lt;&gt;F50),Scoring_Constants!$B$7,0))</f>
        <v/>
      </c>
      <c r="L50">
        <f>IF(OR(H50="",IFERROR(INDEX(Matches_2!$H:$H,MATCH(C50,Matches_2!$A:$A,0)),"")=""),0,IF(H50=IFERROR(INDEX(Matches_2!$H:$H,MATCH(C50,Matches_2!$A:$A,0)),""),Scoring_Constants!$B$8,0))</f>
        <v/>
      </c>
      <c r="M50">
        <f>SUM(I50:L50)</f>
        <v/>
      </c>
      <c r="O50" t="b">
        <v>0</v>
      </c>
    </row>
    <row r="51">
      <c r="A51" t="inlineStr">
        <is>
          <t>M002</t>
        </is>
      </c>
      <c r="B51">
        <f>IFERROR(INDEX(Managers!$B:$B,MATCH(A51,Managers!$A:$A,0)),"")</f>
        <v/>
      </c>
      <c r="C51" t="inlineStr">
        <is>
          <t>R16_03</t>
        </is>
      </c>
      <c r="D51">
        <f>IFERROR(INDEX(Matches_2!$B:$B,MATCH(C51,Matches_2!$A:$A,0)),"")</f>
        <v/>
      </c>
      <c r="I51">
        <f>IF(OR(E51="",IFERROR(INDEX(Matches_2!$F:$F,MATCH(C51,Matches_2!$A:$A,0)),"")=""),0,IF(E51=IFERROR(INDEX(Matches_2!$F:$F,MATCH(C51,Matches_2!$A:$A,0)),""),Scoring_Constants!$B$6,0))</f>
        <v/>
      </c>
      <c r="J51">
        <f>IF(OR(F51="",IFERROR(INDEX(Matches_2!$G:$G,MATCH(C51,Matches_2!$A:$A,0)),"")=""),0,IF(ISNUMBER(SEARCH(F51,IFERROR(INDEX(Matches_2!$G:$G,MATCH(C51,Matches_2!$A:$A,0)),""))),Scoring_Constants!$B$7,0))</f>
        <v/>
      </c>
      <c r="K51">
        <f>IF(OR(G51="",IFERROR(INDEX(Matches_2!$G:$G,MATCH(C51,Matches_2!$A:$A,0)),"")=""),0,IF(AND(ISNUMBER(SEARCH(G51,IFERROR(INDEX(Matches_2!$G:$G,MATCH(C51,Matches_2!$A:$A,0)),""))),G51&lt;&gt;F51),Scoring_Constants!$B$7,0))</f>
        <v/>
      </c>
      <c r="L51">
        <f>IF(OR(H51="",IFERROR(INDEX(Matches_2!$H:$H,MATCH(C51,Matches_2!$A:$A,0)),"")=""),0,IF(H51=IFERROR(INDEX(Matches_2!$H:$H,MATCH(C51,Matches_2!$A:$A,0)),""),Scoring_Constants!$B$8,0))</f>
        <v/>
      </c>
      <c r="M51">
        <f>SUM(I51:L51)</f>
        <v/>
      </c>
      <c r="O51" t="b">
        <v>0</v>
      </c>
    </row>
    <row r="52">
      <c r="A52" t="inlineStr">
        <is>
          <t>M002</t>
        </is>
      </c>
      <c r="B52">
        <f>IFERROR(INDEX(Managers!$B:$B,MATCH(A52,Managers!$A:$A,0)),"")</f>
        <v/>
      </c>
      <c r="C52" t="inlineStr">
        <is>
          <t>R16_04</t>
        </is>
      </c>
      <c r="D52">
        <f>IFERROR(INDEX(Matches_2!$B:$B,MATCH(C52,Matches_2!$A:$A,0)),"")</f>
        <v/>
      </c>
      <c r="I52">
        <f>IF(OR(E52="",IFERROR(INDEX(Matches_2!$F:$F,MATCH(C52,Matches_2!$A:$A,0)),"")=""),0,IF(E52=IFERROR(INDEX(Matches_2!$F:$F,MATCH(C52,Matches_2!$A:$A,0)),""),Scoring_Constants!$B$6,0))</f>
        <v/>
      </c>
      <c r="J52">
        <f>IF(OR(F52="",IFERROR(INDEX(Matches_2!$G:$G,MATCH(C52,Matches_2!$A:$A,0)),"")=""),0,IF(ISNUMBER(SEARCH(F52,IFERROR(INDEX(Matches_2!$G:$G,MATCH(C52,Matches_2!$A:$A,0)),""))),Scoring_Constants!$B$7,0))</f>
        <v/>
      </c>
      <c r="K52">
        <f>IF(OR(G52="",IFERROR(INDEX(Matches_2!$G:$G,MATCH(C52,Matches_2!$A:$A,0)),"")=""),0,IF(AND(ISNUMBER(SEARCH(G52,IFERROR(INDEX(Matches_2!$G:$G,MATCH(C52,Matches_2!$A:$A,0)),""))),G52&lt;&gt;F52),Scoring_Constants!$B$7,0))</f>
        <v/>
      </c>
      <c r="L52">
        <f>IF(OR(H52="",IFERROR(INDEX(Matches_2!$H:$H,MATCH(C52,Matches_2!$A:$A,0)),"")=""),0,IF(H52=IFERROR(INDEX(Matches_2!$H:$H,MATCH(C52,Matches_2!$A:$A,0)),""),Scoring_Constants!$B$8,0))</f>
        <v/>
      </c>
      <c r="M52">
        <f>SUM(I52:L52)</f>
        <v/>
      </c>
      <c r="O52" t="b">
        <v>0</v>
      </c>
    </row>
    <row r="53">
      <c r="A53" t="inlineStr">
        <is>
          <t>M002</t>
        </is>
      </c>
      <c r="B53">
        <f>IFERROR(INDEX(Managers!$B:$B,MATCH(A53,Managers!$A:$A,0)),"")</f>
        <v/>
      </c>
      <c r="C53" t="inlineStr">
        <is>
          <t>R16_05</t>
        </is>
      </c>
      <c r="D53">
        <f>IFERROR(INDEX(Matches_2!$B:$B,MATCH(C53,Matches_2!$A:$A,0)),"")</f>
        <v/>
      </c>
      <c r="I53">
        <f>IF(OR(E53="",IFERROR(INDEX(Matches_2!$F:$F,MATCH(C53,Matches_2!$A:$A,0)),"")=""),0,IF(E53=IFERROR(INDEX(Matches_2!$F:$F,MATCH(C53,Matches_2!$A:$A,0)),""),Scoring_Constants!$B$6,0))</f>
        <v/>
      </c>
      <c r="J53">
        <f>IF(OR(F53="",IFERROR(INDEX(Matches_2!$G:$G,MATCH(C53,Matches_2!$A:$A,0)),"")=""),0,IF(ISNUMBER(SEARCH(F53,IFERROR(INDEX(Matches_2!$G:$G,MATCH(C53,Matches_2!$A:$A,0)),""))),Scoring_Constants!$B$7,0))</f>
        <v/>
      </c>
      <c r="K53">
        <f>IF(OR(G53="",IFERROR(INDEX(Matches_2!$G:$G,MATCH(C53,Matches_2!$A:$A,0)),"")=""),0,IF(AND(ISNUMBER(SEARCH(G53,IFERROR(INDEX(Matches_2!$G:$G,MATCH(C53,Matches_2!$A:$A,0)),""))),G53&lt;&gt;F53),Scoring_Constants!$B$7,0))</f>
        <v/>
      </c>
      <c r="L53">
        <f>IF(OR(H53="",IFERROR(INDEX(Matches_2!$H:$H,MATCH(C53,Matches_2!$A:$A,0)),"")=""),0,IF(H53=IFERROR(INDEX(Matches_2!$H:$H,MATCH(C53,Matches_2!$A:$A,0)),""),Scoring_Constants!$B$8,0))</f>
        <v/>
      </c>
      <c r="M53">
        <f>SUM(I53:L53)</f>
        <v/>
      </c>
      <c r="O53" t="b">
        <v>0</v>
      </c>
    </row>
    <row r="54">
      <c r="A54" t="inlineStr">
        <is>
          <t>M002</t>
        </is>
      </c>
      <c r="B54">
        <f>IFERROR(INDEX(Managers!$B:$B,MATCH(A54,Managers!$A:$A,0)),"")</f>
        <v/>
      </c>
      <c r="C54" t="inlineStr">
        <is>
          <t>R16_06</t>
        </is>
      </c>
      <c r="D54">
        <f>IFERROR(INDEX(Matches_2!$B:$B,MATCH(C54,Matches_2!$A:$A,0)),"")</f>
        <v/>
      </c>
      <c r="I54">
        <f>IF(OR(E54="",IFERROR(INDEX(Matches_2!$F:$F,MATCH(C54,Matches_2!$A:$A,0)),"")=""),0,IF(E54=IFERROR(INDEX(Matches_2!$F:$F,MATCH(C54,Matches_2!$A:$A,0)),""),Scoring_Constants!$B$6,0))</f>
        <v/>
      </c>
      <c r="J54">
        <f>IF(OR(F54="",IFERROR(INDEX(Matches_2!$G:$G,MATCH(C54,Matches_2!$A:$A,0)),"")=""),0,IF(ISNUMBER(SEARCH(F54,IFERROR(INDEX(Matches_2!$G:$G,MATCH(C54,Matches_2!$A:$A,0)),""))),Scoring_Constants!$B$7,0))</f>
        <v/>
      </c>
      <c r="K54">
        <f>IF(OR(G54="",IFERROR(INDEX(Matches_2!$G:$G,MATCH(C54,Matches_2!$A:$A,0)),"")=""),0,IF(AND(ISNUMBER(SEARCH(G54,IFERROR(INDEX(Matches_2!$G:$G,MATCH(C54,Matches_2!$A:$A,0)),""))),G54&lt;&gt;F54),Scoring_Constants!$B$7,0))</f>
        <v/>
      </c>
      <c r="L54">
        <f>IF(OR(H54="",IFERROR(INDEX(Matches_2!$H:$H,MATCH(C54,Matches_2!$A:$A,0)),"")=""),0,IF(H54=IFERROR(INDEX(Matches_2!$H:$H,MATCH(C54,Matches_2!$A:$A,0)),""),Scoring_Constants!$B$8,0))</f>
        <v/>
      </c>
      <c r="M54">
        <f>SUM(I54:L54)</f>
        <v/>
      </c>
      <c r="O54" t="b">
        <v>0</v>
      </c>
    </row>
    <row r="55">
      <c r="A55" t="inlineStr">
        <is>
          <t>M002</t>
        </is>
      </c>
      <c r="B55">
        <f>IFERROR(INDEX(Managers!$B:$B,MATCH(A55,Managers!$A:$A,0)),"")</f>
        <v/>
      </c>
      <c r="C55" t="inlineStr">
        <is>
          <t>R16_07</t>
        </is>
      </c>
      <c r="D55">
        <f>IFERROR(INDEX(Matches_2!$B:$B,MATCH(C55,Matches_2!$A:$A,0)),"")</f>
        <v/>
      </c>
      <c r="I55">
        <f>IF(OR(E55="",IFERROR(INDEX(Matches_2!$F:$F,MATCH(C55,Matches_2!$A:$A,0)),"")=""),0,IF(E55=IFERROR(INDEX(Matches_2!$F:$F,MATCH(C55,Matches_2!$A:$A,0)),""),Scoring_Constants!$B$6,0))</f>
        <v/>
      </c>
      <c r="J55">
        <f>IF(OR(F55="",IFERROR(INDEX(Matches_2!$G:$G,MATCH(C55,Matches_2!$A:$A,0)),"")=""),0,IF(ISNUMBER(SEARCH(F55,IFERROR(INDEX(Matches_2!$G:$G,MATCH(C55,Matches_2!$A:$A,0)),""))),Scoring_Constants!$B$7,0))</f>
        <v/>
      </c>
      <c r="K55">
        <f>IF(OR(G55="",IFERROR(INDEX(Matches_2!$G:$G,MATCH(C55,Matches_2!$A:$A,0)),"")=""),0,IF(AND(ISNUMBER(SEARCH(G55,IFERROR(INDEX(Matches_2!$G:$G,MATCH(C55,Matches_2!$A:$A,0)),""))),G55&lt;&gt;F55),Scoring_Constants!$B$7,0))</f>
        <v/>
      </c>
      <c r="L55">
        <f>IF(OR(H55="",IFERROR(INDEX(Matches_2!$H:$H,MATCH(C55,Matches_2!$A:$A,0)),"")=""),0,IF(H55=IFERROR(INDEX(Matches_2!$H:$H,MATCH(C55,Matches_2!$A:$A,0)),""),Scoring_Constants!$B$8,0))</f>
        <v/>
      </c>
      <c r="M55">
        <f>SUM(I55:L55)</f>
        <v/>
      </c>
      <c r="O55" t="b">
        <v>0</v>
      </c>
    </row>
    <row r="56">
      <c r="A56" t="inlineStr">
        <is>
          <t>M002</t>
        </is>
      </c>
      <c r="B56">
        <f>IFERROR(INDEX(Managers!$B:$B,MATCH(A56,Managers!$A:$A,0)),"")</f>
        <v/>
      </c>
      <c r="C56" t="inlineStr">
        <is>
          <t>R16_08</t>
        </is>
      </c>
      <c r="D56">
        <f>IFERROR(INDEX(Matches_2!$B:$B,MATCH(C56,Matches_2!$A:$A,0)),"")</f>
        <v/>
      </c>
      <c r="I56">
        <f>IF(OR(E56="",IFERROR(INDEX(Matches_2!$F:$F,MATCH(C56,Matches_2!$A:$A,0)),"")=""),0,IF(E56=IFERROR(INDEX(Matches_2!$F:$F,MATCH(C56,Matches_2!$A:$A,0)),""),Scoring_Constants!$B$6,0))</f>
        <v/>
      </c>
      <c r="J56">
        <f>IF(OR(F56="",IFERROR(INDEX(Matches_2!$G:$G,MATCH(C56,Matches_2!$A:$A,0)),"")=""),0,IF(ISNUMBER(SEARCH(F56,IFERROR(INDEX(Matches_2!$G:$G,MATCH(C56,Matches_2!$A:$A,0)),""))),Scoring_Constants!$B$7,0))</f>
        <v/>
      </c>
      <c r="K56">
        <f>IF(OR(G56="",IFERROR(INDEX(Matches_2!$G:$G,MATCH(C56,Matches_2!$A:$A,0)),"")=""),0,IF(AND(ISNUMBER(SEARCH(G56,IFERROR(INDEX(Matches_2!$G:$G,MATCH(C56,Matches_2!$A:$A,0)),""))),G56&lt;&gt;F56),Scoring_Constants!$B$7,0))</f>
        <v/>
      </c>
      <c r="L56">
        <f>IF(OR(H56="",IFERROR(INDEX(Matches_2!$H:$H,MATCH(C56,Matches_2!$A:$A,0)),"")=""),0,IF(H56=IFERROR(INDEX(Matches_2!$H:$H,MATCH(C56,Matches_2!$A:$A,0)),""),Scoring_Constants!$B$8,0))</f>
        <v/>
      </c>
      <c r="M56">
        <f>SUM(I56:L56)</f>
        <v/>
      </c>
      <c r="O56" t="b">
        <v>0</v>
      </c>
    </row>
    <row r="57">
      <c r="A57" t="inlineStr">
        <is>
          <t>M002</t>
        </is>
      </c>
      <c r="B57">
        <f>IFERROR(INDEX(Managers!$B:$B,MATCH(A57,Managers!$A:$A,0)),"")</f>
        <v/>
      </c>
      <c r="C57" t="inlineStr">
        <is>
          <t>QF_01</t>
        </is>
      </c>
      <c r="D57">
        <f>IFERROR(INDEX(Matches_2!$B:$B,MATCH(C57,Matches_2!$A:$A,0)),"")</f>
        <v/>
      </c>
      <c r="I57">
        <f>IF(OR(E57="",IFERROR(INDEX(Matches_2!$F:$F,MATCH(C57,Matches_2!$A:$A,0)),"")=""),0,IF(E57=IFERROR(INDEX(Matches_2!$F:$F,MATCH(C57,Matches_2!$A:$A,0)),""),Scoring_Constants!$B$6,0))</f>
        <v/>
      </c>
      <c r="J57">
        <f>IF(OR(F57="",IFERROR(INDEX(Matches_2!$G:$G,MATCH(C57,Matches_2!$A:$A,0)),"")=""),0,IF(ISNUMBER(SEARCH(F57,IFERROR(INDEX(Matches_2!$G:$G,MATCH(C57,Matches_2!$A:$A,0)),""))),Scoring_Constants!$B$7,0))</f>
        <v/>
      </c>
      <c r="K57">
        <f>IF(OR(G57="",IFERROR(INDEX(Matches_2!$G:$G,MATCH(C57,Matches_2!$A:$A,0)),"")=""),0,IF(AND(ISNUMBER(SEARCH(G57,IFERROR(INDEX(Matches_2!$G:$G,MATCH(C57,Matches_2!$A:$A,0)),""))),G57&lt;&gt;F57),Scoring_Constants!$B$7,0))</f>
        <v/>
      </c>
      <c r="L57">
        <f>IF(OR(H57="",IFERROR(INDEX(Matches_2!$H:$H,MATCH(C57,Matches_2!$A:$A,0)),"")=""),0,IF(H57=IFERROR(INDEX(Matches_2!$H:$H,MATCH(C57,Matches_2!$A:$A,0)),""),Scoring_Constants!$B$8,0))</f>
        <v/>
      </c>
      <c r="M57">
        <f>SUM(I57:L57)</f>
        <v/>
      </c>
      <c r="O57" t="b">
        <v>0</v>
      </c>
    </row>
    <row r="58">
      <c r="A58" t="inlineStr">
        <is>
          <t>M002</t>
        </is>
      </c>
      <c r="B58">
        <f>IFERROR(INDEX(Managers!$B:$B,MATCH(A58,Managers!$A:$A,0)),"")</f>
        <v/>
      </c>
      <c r="C58" t="inlineStr">
        <is>
          <t>QF_02</t>
        </is>
      </c>
      <c r="D58">
        <f>IFERROR(INDEX(Matches_2!$B:$B,MATCH(C58,Matches_2!$A:$A,0)),"")</f>
        <v/>
      </c>
      <c r="I58">
        <f>IF(OR(E58="",IFERROR(INDEX(Matches_2!$F:$F,MATCH(C58,Matches_2!$A:$A,0)),"")=""),0,IF(E58=IFERROR(INDEX(Matches_2!$F:$F,MATCH(C58,Matches_2!$A:$A,0)),""),Scoring_Constants!$B$6,0))</f>
        <v/>
      </c>
      <c r="J58">
        <f>IF(OR(F58="",IFERROR(INDEX(Matches_2!$G:$G,MATCH(C58,Matches_2!$A:$A,0)),"")=""),0,IF(ISNUMBER(SEARCH(F58,IFERROR(INDEX(Matches_2!$G:$G,MATCH(C58,Matches_2!$A:$A,0)),""))),Scoring_Constants!$B$7,0))</f>
        <v/>
      </c>
      <c r="K58">
        <f>IF(OR(G58="",IFERROR(INDEX(Matches_2!$G:$G,MATCH(C58,Matches_2!$A:$A,0)),"")=""),0,IF(AND(ISNUMBER(SEARCH(G58,IFERROR(INDEX(Matches_2!$G:$G,MATCH(C58,Matches_2!$A:$A,0)),""))),G58&lt;&gt;F58),Scoring_Constants!$B$7,0))</f>
        <v/>
      </c>
      <c r="L58">
        <f>IF(OR(H58="",IFERROR(INDEX(Matches_2!$H:$H,MATCH(C58,Matches_2!$A:$A,0)),"")=""),0,IF(H58=IFERROR(INDEX(Matches_2!$H:$H,MATCH(C58,Matches_2!$A:$A,0)),""),Scoring_Constants!$B$8,0))</f>
        <v/>
      </c>
      <c r="M58">
        <f>SUM(I58:L58)</f>
        <v/>
      </c>
      <c r="O58" t="b">
        <v>0</v>
      </c>
    </row>
    <row r="59">
      <c r="A59" t="inlineStr">
        <is>
          <t>M002</t>
        </is>
      </c>
      <c r="B59">
        <f>IFERROR(INDEX(Managers!$B:$B,MATCH(A59,Managers!$A:$A,0)),"")</f>
        <v/>
      </c>
      <c r="C59" t="inlineStr">
        <is>
          <t>QF_03</t>
        </is>
      </c>
      <c r="D59">
        <f>IFERROR(INDEX(Matches_2!$B:$B,MATCH(C59,Matches_2!$A:$A,0)),"")</f>
        <v/>
      </c>
      <c r="I59">
        <f>IF(OR(E59="",IFERROR(INDEX(Matches_2!$F:$F,MATCH(C59,Matches_2!$A:$A,0)),"")=""),0,IF(E59=IFERROR(INDEX(Matches_2!$F:$F,MATCH(C59,Matches_2!$A:$A,0)),""),Scoring_Constants!$B$6,0))</f>
        <v/>
      </c>
      <c r="J59">
        <f>IF(OR(F59="",IFERROR(INDEX(Matches_2!$G:$G,MATCH(C59,Matches_2!$A:$A,0)),"")=""),0,IF(ISNUMBER(SEARCH(F59,IFERROR(INDEX(Matches_2!$G:$G,MATCH(C59,Matches_2!$A:$A,0)),""))),Scoring_Constants!$B$7,0))</f>
        <v/>
      </c>
      <c r="K59">
        <f>IF(OR(G59="",IFERROR(INDEX(Matches_2!$G:$G,MATCH(C59,Matches_2!$A:$A,0)),"")=""),0,IF(AND(ISNUMBER(SEARCH(G59,IFERROR(INDEX(Matches_2!$G:$G,MATCH(C59,Matches_2!$A:$A,0)),""))),G59&lt;&gt;F59),Scoring_Constants!$B$7,0))</f>
        <v/>
      </c>
      <c r="L59">
        <f>IF(OR(H59="",IFERROR(INDEX(Matches_2!$H:$H,MATCH(C59,Matches_2!$A:$A,0)),"")=""),0,IF(H59=IFERROR(INDEX(Matches_2!$H:$H,MATCH(C59,Matches_2!$A:$A,0)),""),Scoring_Constants!$B$8,0))</f>
        <v/>
      </c>
      <c r="M59">
        <f>SUM(I59:L59)</f>
        <v/>
      </c>
      <c r="O59" t="b">
        <v>0</v>
      </c>
    </row>
    <row r="60">
      <c r="A60" t="inlineStr">
        <is>
          <t>M002</t>
        </is>
      </c>
      <c r="B60">
        <f>IFERROR(INDEX(Managers!$B:$B,MATCH(A60,Managers!$A:$A,0)),"")</f>
        <v/>
      </c>
      <c r="C60" t="inlineStr">
        <is>
          <t>QF_04</t>
        </is>
      </c>
      <c r="D60">
        <f>IFERROR(INDEX(Matches_2!$B:$B,MATCH(C60,Matches_2!$A:$A,0)),"")</f>
        <v/>
      </c>
      <c r="I60">
        <f>IF(OR(E60="",IFERROR(INDEX(Matches_2!$F:$F,MATCH(C60,Matches_2!$A:$A,0)),"")=""),0,IF(E60=IFERROR(INDEX(Matches_2!$F:$F,MATCH(C60,Matches_2!$A:$A,0)),""),Scoring_Constants!$B$6,0))</f>
        <v/>
      </c>
      <c r="J60">
        <f>IF(OR(F60="",IFERROR(INDEX(Matches_2!$G:$G,MATCH(C60,Matches_2!$A:$A,0)),"")=""),0,IF(ISNUMBER(SEARCH(F60,IFERROR(INDEX(Matches_2!$G:$G,MATCH(C60,Matches_2!$A:$A,0)),""))),Scoring_Constants!$B$7,0))</f>
        <v/>
      </c>
      <c r="K60">
        <f>IF(OR(G60="",IFERROR(INDEX(Matches_2!$G:$G,MATCH(C60,Matches_2!$A:$A,0)),"")=""),0,IF(AND(ISNUMBER(SEARCH(G60,IFERROR(INDEX(Matches_2!$G:$G,MATCH(C60,Matches_2!$A:$A,0)),""))),G60&lt;&gt;F60),Scoring_Constants!$B$7,0))</f>
        <v/>
      </c>
      <c r="L60">
        <f>IF(OR(H60="",IFERROR(INDEX(Matches_2!$H:$H,MATCH(C60,Matches_2!$A:$A,0)),"")=""),0,IF(H60=IFERROR(INDEX(Matches_2!$H:$H,MATCH(C60,Matches_2!$A:$A,0)),""),Scoring_Constants!$B$8,0))</f>
        <v/>
      </c>
      <c r="M60">
        <f>SUM(I60:L60)</f>
        <v/>
      </c>
      <c r="O60" t="b">
        <v>0</v>
      </c>
    </row>
    <row r="61">
      <c r="A61" t="inlineStr">
        <is>
          <t>M002</t>
        </is>
      </c>
      <c r="B61">
        <f>IFERROR(INDEX(Managers!$B:$B,MATCH(A61,Managers!$A:$A,0)),"")</f>
        <v/>
      </c>
      <c r="C61" t="inlineStr">
        <is>
          <t>SF_01</t>
        </is>
      </c>
      <c r="D61">
        <f>IFERROR(INDEX(Matches_2!$B:$B,MATCH(C61,Matches_2!$A:$A,0)),"")</f>
        <v/>
      </c>
      <c r="I61">
        <f>IF(OR(E61="",IFERROR(INDEX(Matches_2!$F:$F,MATCH(C61,Matches_2!$A:$A,0)),"")=""),0,IF(E61=IFERROR(INDEX(Matches_2!$F:$F,MATCH(C61,Matches_2!$A:$A,0)),""),Scoring_Constants!$B$6,0))</f>
        <v/>
      </c>
      <c r="J61">
        <f>IF(OR(F61="",IFERROR(INDEX(Matches_2!$G:$G,MATCH(C61,Matches_2!$A:$A,0)),"")=""),0,IF(ISNUMBER(SEARCH(F61,IFERROR(INDEX(Matches_2!$G:$G,MATCH(C61,Matches_2!$A:$A,0)),""))),Scoring_Constants!$B$7,0))</f>
        <v/>
      </c>
      <c r="K61">
        <f>IF(OR(G61="",IFERROR(INDEX(Matches_2!$G:$G,MATCH(C61,Matches_2!$A:$A,0)),"")=""),0,IF(AND(ISNUMBER(SEARCH(G61,IFERROR(INDEX(Matches_2!$G:$G,MATCH(C61,Matches_2!$A:$A,0)),""))),G61&lt;&gt;F61),Scoring_Constants!$B$7,0))</f>
        <v/>
      </c>
      <c r="L61">
        <f>IF(OR(H61="",IFERROR(INDEX(Matches_2!$H:$H,MATCH(C61,Matches_2!$A:$A,0)),"")=""),0,IF(H61=IFERROR(INDEX(Matches_2!$H:$H,MATCH(C61,Matches_2!$A:$A,0)),""),Scoring_Constants!$B$8,0))</f>
        <v/>
      </c>
      <c r="M61">
        <f>SUM(I61:L61)</f>
        <v/>
      </c>
      <c r="O61" t="b">
        <v>0</v>
      </c>
    </row>
    <row r="62">
      <c r="A62" t="inlineStr">
        <is>
          <t>M002</t>
        </is>
      </c>
      <c r="B62">
        <f>IFERROR(INDEX(Managers!$B:$B,MATCH(A62,Managers!$A:$A,0)),"")</f>
        <v/>
      </c>
      <c r="C62" t="inlineStr">
        <is>
          <t>SF_02</t>
        </is>
      </c>
      <c r="D62">
        <f>IFERROR(INDEX(Matches_2!$B:$B,MATCH(C62,Matches_2!$A:$A,0)),"")</f>
        <v/>
      </c>
      <c r="I62">
        <f>IF(OR(E62="",IFERROR(INDEX(Matches_2!$F:$F,MATCH(C62,Matches_2!$A:$A,0)),"")=""),0,IF(E62=IFERROR(INDEX(Matches_2!$F:$F,MATCH(C62,Matches_2!$A:$A,0)),""),Scoring_Constants!$B$6,0))</f>
        <v/>
      </c>
      <c r="J62">
        <f>IF(OR(F62="",IFERROR(INDEX(Matches_2!$G:$G,MATCH(C62,Matches_2!$A:$A,0)),"")=""),0,IF(ISNUMBER(SEARCH(F62,IFERROR(INDEX(Matches_2!$G:$G,MATCH(C62,Matches_2!$A:$A,0)),""))),Scoring_Constants!$B$7,0))</f>
        <v/>
      </c>
      <c r="K62">
        <f>IF(OR(G62="",IFERROR(INDEX(Matches_2!$G:$G,MATCH(C62,Matches_2!$A:$A,0)),"")=""),0,IF(AND(ISNUMBER(SEARCH(G62,IFERROR(INDEX(Matches_2!$G:$G,MATCH(C62,Matches_2!$A:$A,0)),""))),G62&lt;&gt;F62),Scoring_Constants!$B$7,0))</f>
        <v/>
      </c>
      <c r="L62">
        <f>IF(OR(H62="",IFERROR(INDEX(Matches_2!$H:$H,MATCH(C62,Matches_2!$A:$A,0)),"")=""),0,IF(H62=IFERROR(INDEX(Matches_2!$H:$H,MATCH(C62,Matches_2!$A:$A,0)),""),Scoring_Constants!$B$8,0))</f>
        <v/>
      </c>
      <c r="M62">
        <f>SUM(I62:L62)</f>
        <v/>
      </c>
      <c r="O62" t="b">
        <v>0</v>
      </c>
    </row>
    <row r="63">
      <c r="A63" t="inlineStr">
        <is>
          <t>M002</t>
        </is>
      </c>
      <c r="B63">
        <f>IFERROR(INDEX(Managers!$B:$B,MATCH(A63,Managers!$A:$A,0)),"")</f>
        <v/>
      </c>
      <c r="C63" t="inlineStr">
        <is>
          <t>F_01</t>
        </is>
      </c>
      <c r="D63">
        <f>IFERROR(INDEX(Matches_2!$B:$B,MATCH(C63,Matches_2!$A:$A,0)),"")</f>
        <v/>
      </c>
      <c r="I63">
        <f>IF(OR(E63="",IFERROR(INDEX(Matches_2!$F:$F,MATCH(C63,Matches_2!$A:$A,0)),"")=""),0,IF(E63=IFERROR(INDEX(Matches_2!$F:$F,MATCH(C63,Matches_2!$A:$A,0)),""),Scoring_Constants!$B$6,0))</f>
        <v/>
      </c>
      <c r="J63">
        <f>IF(OR(F63="",IFERROR(INDEX(Matches_2!$G:$G,MATCH(C63,Matches_2!$A:$A,0)),"")=""),0,IF(ISNUMBER(SEARCH(F63,IFERROR(INDEX(Matches_2!$G:$G,MATCH(C63,Matches_2!$A:$A,0)),""))),Scoring_Constants!$B$7,0))</f>
        <v/>
      </c>
      <c r="K63">
        <f>IF(OR(G63="",IFERROR(INDEX(Matches_2!$G:$G,MATCH(C63,Matches_2!$A:$A,0)),"")=""),0,IF(AND(ISNUMBER(SEARCH(G63,IFERROR(INDEX(Matches_2!$G:$G,MATCH(C63,Matches_2!$A:$A,0)),""))),G63&lt;&gt;F63),Scoring_Constants!$B$7,0))</f>
        <v/>
      </c>
      <c r="L63">
        <f>IF(OR(H63="",IFERROR(INDEX(Matches_2!$H:$H,MATCH(C63,Matches_2!$A:$A,0)),"")=""),0,IF(H63=IFERROR(INDEX(Matches_2!$H:$H,MATCH(C63,Matches_2!$A:$A,0)),""),Scoring_Constants!$B$8,0))</f>
        <v/>
      </c>
      <c r="M63">
        <f>SUM(I63:L63)</f>
        <v/>
      </c>
      <c r="O63" t="b">
        <v>0</v>
      </c>
    </row>
    <row r="64">
      <c r="A64" t="inlineStr">
        <is>
          <t>M003</t>
        </is>
      </c>
      <c r="B64">
        <f>IFERROR(INDEX(Managers!$B:$B,MATCH(A64,Managers!$A:$A,0)),"")</f>
        <v/>
      </c>
      <c r="C64" t="inlineStr">
        <is>
          <t>R32_01</t>
        </is>
      </c>
      <c r="D64">
        <f>IFERROR(INDEX(Matches_2!$B:$B,MATCH(C64,Matches_2!$A:$A,0)),"")</f>
        <v/>
      </c>
      <c r="I64">
        <f>IF(OR(E64="",IFERROR(INDEX(Matches_2!$F:$F,MATCH(C64,Matches_2!$A:$A,0)),"")=""),0,IF(E64=IFERROR(INDEX(Matches_2!$F:$F,MATCH(C64,Matches_2!$A:$A,0)),""),Scoring_Constants!$B$6,0))</f>
        <v/>
      </c>
      <c r="J64">
        <f>IF(OR(F64="",IFERROR(INDEX(Matches_2!$G:$G,MATCH(C64,Matches_2!$A:$A,0)),"")=""),0,IF(ISNUMBER(SEARCH(F64,IFERROR(INDEX(Matches_2!$G:$G,MATCH(C64,Matches_2!$A:$A,0)),""))),Scoring_Constants!$B$7,0))</f>
        <v/>
      </c>
      <c r="K64">
        <f>IF(OR(G64="",IFERROR(INDEX(Matches_2!$G:$G,MATCH(C64,Matches_2!$A:$A,0)),"")=""),0,IF(AND(ISNUMBER(SEARCH(G64,IFERROR(INDEX(Matches_2!$G:$G,MATCH(C64,Matches_2!$A:$A,0)),""))),G64&lt;&gt;F64),Scoring_Constants!$B$7,0))</f>
        <v/>
      </c>
      <c r="L64">
        <f>IF(OR(H64="",IFERROR(INDEX(Matches_2!$H:$H,MATCH(C64,Matches_2!$A:$A,0)),"")=""),0,IF(H64=IFERROR(INDEX(Matches_2!$H:$H,MATCH(C64,Matches_2!$A:$A,0)),""),Scoring_Constants!$B$8,0))</f>
        <v/>
      </c>
      <c r="M64">
        <f>SUM(I64:L64)</f>
        <v/>
      </c>
      <c r="O64" t="b">
        <v>0</v>
      </c>
    </row>
    <row r="65">
      <c r="A65" t="inlineStr">
        <is>
          <t>M003</t>
        </is>
      </c>
      <c r="B65">
        <f>IFERROR(INDEX(Managers!$B:$B,MATCH(A65,Managers!$A:$A,0)),"")</f>
        <v/>
      </c>
      <c r="C65" t="inlineStr">
        <is>
          <t>R32_02</t>
        </is>
      </c>
      <c r="D65">
        <f>IFERROR(INDEX(Matches_2!$B:$B,MATCH(C65,Matches_2!$A:$A,0)),"")</f>
        <v/>
      </c>
      <c r="I65">
        <f>IF(OR(E65="",IFERROR(INDEX(Matches_2!$F:$F,MATCH(C65,Matches_2!$A:$A,0)),"")=""),0,IF(E65=IFERROR(INDEX(Matches_2!$F:$F,MATCH(C65,Matches_2!$A:$A,0)),""),Scoring_Constants!$B$6,0))</f>
        <v/>
      </c>
      <c r="J65">
        <f>IF(OR(F65="",IFERROR(INDEX(Matches_2!$G:$G,MATCH(C65,Matches_2!$A:$A,0)),"")=""),0,IF(ISNUMBER(SEARCH(F65,IFERROR(INDEX(Matches_2!$G:$G,MATCH(C65,Matches_2!$A:$A,0)),""))),Scoring_Constants!$B$7,0))</f>
        <v/>
      </c>
      <c r="K65">
        <f>IF(OR(G65="",IFERROR(INDEX(Matches_2!$G:$G,MATCH(C65,Matches_2!$A:$A,0)),"")=""),0,IF(AND(ISNUMBER(SEARCH(G65,IFERROR(INDEX(Matches_2!$G:$G,MATCH(C65,Matches_2!$A:$A,0)),""))),G65&lt;&gt;F65),Scoring_Constants!$B$7,0))</f>
        <v/>
      </c>
      <c r="L65">
        <f>IF(OR(H65="",IFERROR(INDEX(Matches_2!$H:$H,MATCH(C65,Matches_2!$A:$A,0)),"")=""),0,IF(H65=IFERROR(INDEX(Matches_2!$H:$H,MATCH(C65,Matches_2!$A:$A,0)),""),Scoring_Constants!$B$8,0))</f>
        <v/>
      </c>
      <c r="M65">
        <f>SUM(I65:L65)</f>
        <v/>
      </c>
      <c r="O65" t="b">
        <v>0</v>
      </c>
    </row>
    <row r="66">
      <c r="A66" t="inlineStr">
        <is>
          <t>M003</t>
        </is>
      </c>
      <c r="B66">
        <f>IFERROR(INDEX(Managers!$B:$B,MATCH(A66,Managers!$A:$A,0)),"")</f>
        <v/>
      </c>
      <c r="C66" t="inlineStr">
        <is>
          <t>R32_03</t>
        </is>
      </c>
      <c r="D66">
        <f>IFERROR(INDEX(Matches_2!$B:$B,MATCH(C66,Matches_2!$A:$A,0)),"")</f>
        <v/>
      </c>
      <c r="I66">
        <f>IF(OR(E66="",IFERROR(INDEX(Matches_2!$F:$F,MATCH(C66,Matches_2!$A:$A,0)),"")=""),0,IF(E66=IFERROR(INDEX(Matches_2!$F:$F,MATCH(C66,Matches_2!$A:$A,0)),""),Scoring_Constants!$B$6,0))</f>
        <v/>
      </c>
      <c r="J66">
        <f>IF(OR(F66="",IFERROR(INDEX(Matches_2!$G:$G,MATCH(C66,Matches_2!$A:$A,0)),"")=""),0,IF(ISNUMBER(SEARCH(F66,IFERROR(INDEX(Matches_2!$G:$G,MATCH(C66,Matches_2!$A:$A,0)),""))),Scoring_Constants!$B$7,0))</f>
        <v/>
      </c>
      <c r="K66">
        <f>IF(OR(G66="",IFERROR(INDEX(Matches_2!$G:$G,MATCH(C66,Matches_2!$A:$A,0)),"")=""),0,IF(AND(ISNUMBER(SEARCH(G66,IFERROR(INDEX(Matches_2!$G:$G,MATCH(C66,Matches_2!$A:$A,0)),""))),G66&lt;&gt;F66),Scoring_Constants!$B$7,0))</f>
        <v/>
      </c>
      <c r="L66">
        <f>IF(OR(H66="",IFERROR(INDEX(Matches_2!$H:$H,MATCH(C66,Matches_2!$A:$A,0)),"")=""),0,IF(H66=IFERROR(INDEX(Matches_2!$H:$H,MATCH(C66,Matches_2!$A:$A,0)),""),Scoring_Constants!$B$8,0))</f>
        <v/>
      </c>
      <c r="M66">
        <f>SUM(I66:L66)</f>
        <v/>
      </c>
      <c r="O66" t="b">
        <v>0</v>
      </c>
    </row>
    <row r="67">
      <c r="A67" t="inlineStr">
        <is>
          <t>M003</t>
        </is>
      </c>
      <c r="B67">
        <f>IFERROR(INDEX(Managers!$B:$B,MATCH(A67,Managers!$A:$A,0)),"")</f>
        <v/>
      </c>
      <c r="C67" t="inlineStr">
        <is>
          <t>R32_04</t>
        </is>
      </c>
      <c r="D67">
        <f>IFERROR(INDEX(Matches_2!$B:$B,MATCH(C67,Matches_2!$A:$A,0)),"")</f>
        <v/>
      </c>
      <c r="I67">
        <f>IF(OR(E67="",IFERROR(INDEX(Matches_2!$F:$F,MATCH(C67,Matches_2!$A:$A,0)),"")=""),0,IF(E67=IFERROR(INDEX(Matches_2!$F:$F,MATCH(C67,Matches_2!$A:$A,0)),""),Scoring_Constants!$B$6,0))</f>
        <v/>
      </c>
      <c r="J67">
        <f>IF(OR(F67="",IFERROR(INDEX(Matches_2!$G:$G,MATCH(C67,Matches_2!$A:$A,0)),"")=""),0,IF(ISNUMBER(SEARCH(F67,IFERROR(INDEX(Matches_2!$G:$G,MATCH(C67,Matches_2!$A:$A,0)),""))),Scoring_Constants!$B$7,0))</f>
        <v/>
      </c>
      <c r="K67">
        <f>IF(OR(G67="",IFERROR(INDEX(Matches_2!$G:$G,MATCH(C67,Matches_2!$A:$A,0)),"")=""),0,IF(AND(ISNUMBER(SEARCH(G67,IFERROR(INDEX(Matches_2!$G:$G,MATCH(C67,Matches_2!$A:$A,0)),""))),G67&lt;&gt;F67),Scoring_Constants!$B$7,0))</f>
        <v/>
      </c>
      <c r="L67">
        <f>IF(OR(H67="",IFERROR(INDEX(Matches_2!$H:$H,MATCH(C67,Matches_2!$A:$A,0)),"")=""),0,IF(H67=IFERROR(INDEX(Matches_2!$H:$H,MATCH(C67,Matches_2!$A:$A,0)),""),Scoring_Constants!$B$8,0))</f>
        <v/>
      </c>
      <c r="M67">
        <f>SUM(I67:L67)</f>
        <v/>
      </c>
      <c r="O67" t="b">
        <v>0</v>
      </c>
    </row>
    <row r="68">
      <c r="A68" t="inlineStr">
        <is>
          <t>M003</t>
        </is>
      </c>
      <c r="B68">
        <f>IFERROR(INDEX(Managers!$B:$B,MATCH(A68,Managers!$A:$A,0)),"")</f>
        <v/>
      </c>
      <c r="C68" t="inlineStr">
        <is>
          <t>R32_05</t>
        </is>
      </c>
      <c r="D68">
        <f>IFERROR(INDEX(Matches_2!$B:$B,MATCH(C68,Matches_2!$A:$A,0)),"")</f>
        <v/>
      </c>
      <c r="I68">
        <f>IF(OR(E68="",IFERROR(INDEX(Matches_2!$F:$F,MATCH(C68,Matches_2!$A:$A,0)),"")=""),0,IF(E68=IFERROR(INDEX(Matches_2!$F:$F,MATCH(C68,Matches_2!$A:$A,0)),""),Scoring_Constants!$B$6,0))</f>
        <v/>
      </c>
      <c r="J68">
        <f>IF(OR(F68="",IFERROR(INDEX(Matches_2!$G:$G,MATCH(C68,Matches_2!$A:$A,0)),"")=""),0,IF(ISNUMBER(SEARCH(F68,IFERROR(INDEX(Matches_2!$G:$G,MATCH(C68,Matches_2!$A:$A,0)),""))),Scoring_Constants!$B$7,0))</f>
        <v/>
      </c>
      <c r="K68">
        <f>IF(OR(G68="",IFERROR(INDEX(Matches_2!$G:$G,MATCH(C68,Matches_2!$A:$A,0)),"")=""),0,IF(AND(ISNUMBER(SEARCH(G68,IFERROR(INDEX(Matches_2!$G:$G,MATCH(C68,Matches_2!$A:$A,0)),""))),G68&lt;&gt;F68),Scoring_Constants!$B$7,0))</f>
        <v/>
      </c>
      <c r="L68">
        <f>IF(OR(H68="",IFERROR(INDEX(Matches_2!$H:$H,MATCH(C68,Matches_2!$A:$A,0)),"")=""),0,IF(H68=IFERROR(INDEX(Matches_2!$H:$H,MATCH(C68,Matches_2!$A:$A,0)),""),Scoring_Constants!$B$8,0))</f>
        <v/>
      </c>
      <c r="M68">
        <f>SUM(I68:L68)</f>
        <v/>
      </c>
      <c r="O68" t="b">
        <v>0</v>
      </c>
    </row>
    <row r="69">
      <c r="A69" t="inlineStr">
        <is>
          <t>M003</t>
        </is>
      </c>
      <c r="B69">
        <f>IFERROR(INDEX(Managers!$B:$B,MATCH(A69,Managers!$A:$A,0)),"")</f>
        <v/>
      </c>
      <c r="C69" t="inlineStr">
        <is>
          <t>R32_06</t>
        </is>
      </c>
      <c r="D69">
        <f>IFERROR(INDEX(Matches_2!$B:$B,MATCH(C69,Matches_2!$A:$A,0)),"")</f>
        <v/>
      </c>
      <c r="I69">
        <f>IF(OR(E69="",IFERROR(INDEX(Matches_2!$F:$F,MATCH(C69,Matches_2!$A:$A,0)),"")=""),0,IF(E69=IFERROR(INDEX(Matches_2!$F:$F,MATCH(C69,Matches_2!$A:$A,0)),""),Scoring_Constants!$B$6,0))</f>
        <v/>
      </c>
      <c r="J69">
        <f>IF(OR(F69="",IFERROR(INDEX(Matches_2!$G:$G,MATCH(C69,Matches_2!$A:$A,0)),"")=""),0,IF(ISNUMBER(SEARCH(F69,IFERROR(INDEX(Matches_2!$G:$G,MATCH(C69,Matches_2!$A:$A,0)),""))),Scoring_Constants!$B$7,0))</f>
        <v/>
      </c>
      <c r="K69">
        <f>IF(OR(G69="",IFERROR(INDEX(Matches_2!$G:$G,MATCH(C69,Matches_2!$A:$A,0)),"")=""),0,IF(AND(ISNUMBER(SEARCH(G69,IFERROR(INDEX(Matches_2!$G:$G,MATCH(C69,Matches_2!$A:$A,0)),""))),G69&lt;&gt;F69),Scoring_Constants!$B$7,0))</f>
        <v/>
      </c>
      <c r="L69">
        <f>IF(OR(H69="",IFERROR(INDEX(Matches_2!$H:$H,MATCH(C69,Matches_2!$A:$A,0)),"")=""),0,IF(H69=IFERROR(INDEX(Matches_2!$H:$H,MATCH(C69,Matches_2!$A:$A,0)),""),Scoring_Constants!$B$8,0))</f>
        <v/>
      </c>
      <c r="M69">
        <f>SUM(I69:L69)</f>
        <v/>
      </c>
      <c r="O69" t="b">
        <v>0</v>
      </c>
    </row>
    <row r="70">
      <c r="A70" t="inlineStr">
        <is>
          <t>M003</t>
        </is>
      </c>
      <c r="B70">
        <f>IFERROR(INDEX(Managers!$B:$B,MATCH(A70,Managers!$A:$A,0)),"")</f>
        <v/>
      </c>
      <c r="C70" t="inlineStr">
        <is>
          <t>R32_07</t>
        </is>
      </c>
      <c r="D70">
        <f>IFERROR(INDEX(Matches_2!$B:$B,MATCH(C70,Matches_2!$A:$A,0)),"")</f>
        <v/>
      </c>
      <c r="I70">
        <f>IF(OR(E70="",IFERROR(INDEX(Matches_2!$F:$F,MATCH(C70,Matches_2!$A:$A,0)),"")=""),0,IF(E70=IFERROR(INDEX(Matches_2!$F:$F,MATCH(C70,Matches_2!$A:$A,0)),""),Scoring_Constants!$B$6,0))</f>
        <v/>
      </c>
      <c r="J70">
        <f>IF(OR(F70="",IFERROR(INDEX(Matches_2!$G:$G,MATCH(C70,Matches_2!$A:$A,0)),"")=""),0,IF(ISNUMBER(SEARCH(F70,IFERROR(INDEX(Matches_2!$G:$G,MATCH(C70,Matches_2!$A:$A,0)),""))),Scoring_Constants!$B$7,0))</f>
        <v/>
      </c>
      <c r="K70">
        <f>IF(OR(G70="",IFERROR(INDEX(Matches_2!$G:$G,MATCH(C70,Matches_2!$A:$A,0)),"")=""),0,IF(AND(ISNUMBER(SEARCH(G70,IFERROR(INDEX(Matches_2!$G:$G,MATCH(C70,Matches_2!$A:$A,0)),""))),G70&lt;&gt;F70),Scoring_Constants!$B$7,0))</f>
        <v/>
      </c>
      <c r="L70">
        <f>IF(OR(H70="",IFERROR(INDEX(Matches_2!$H:$H,MATCH(C70,Matches_2!$A:$A,0)),"")=""),0,IF(H70=IFERROR(INDEX(Matches_2!$H:$H,MATCH(C70,Matches_2!$A:$A,0)),""),Scoring_Constants!$B$8,0))</f>
        <v/>
      </c>
      <c r="M70">
        <f>SUM(I70:L70)</f>
        <v/>
      </c>
      <c r="O70" t="b">
        <v>0</v>
      </c>
    </row>
    <row r="71">
      <c r="A71" t="inlineStr">
        <is>
          <t>M003</t>
        </is>
      </c>
      <c r="B71">
        <f>IFERROR(INDEX(Managers!$B:$B,MATCH(A71,Managers!$A:$A,0)),"")</f>
        <v/>
      </c>
      <c r="C71" t="inlineStr">
        <is>
          <t>R32_08</t>
        </is>
      </c>
      <c r="D71">
        <f>IFERROR(INDEX(Matches_2!$B:$B,MATCH(C71,Matches_2!$A:$A,0)),"")</f>
        <v/>
      </c>
      <c r="I71">
        <f>IF(OR(E71="",IFERROR(INDEX(Matches_2!$F:$F,MATCH(C71,Matches_2!$A:$A,0)),"")=""),0,IF(E71=IFERROR(INDEX(Matches_2!$F:$F,MATCH(C71,Matches_2!$A:$A,0)),""),Scoring_Constants!$B$6,0))</f>
        <v/>
      </c>
      <c r="J71">
        <f>IF(OR(F71="",IFERROR(INDEX(Matches_2!$G:$G,MATCH(C71,Matches_2!$A:$A,0)),"")=""),0,IF(ISNUMBER(SEARCH(F71,IFERROR(INDEX(Matches_2!$G:$G,MATCH(C71,Matches_2!$A:$A,0)),""))),Scoring_Constants!$B$7,0))</f>
        <v/>
      </c>
      <c r="K71">
        <f>IF(OR(G71="",IFERROR(INDEX(Matches_2!$G:$G,MATCH(C71,Matches_2!$A:$A,0)),"")=""),0,IF(AND(ISNUMBER(SEARCH(G71,IFERROR(INDEX(Matches_2!$G:$G,MATCH(C71,Matches_2!$A:$A,0)),""))),G71&lt;&gt;F71),Scoring_Constants!$B$7,0))</f>
        <v/>
      </c>
      <c r="L71">
        <f>IF(OR(H71="",IFERROR(INDEX(Matches_2!$H:$H,MATCH(C71,Matches_2!$A:$A,0)),"")=""),0,IF(H71=IFERROR(INDEX(Matches_2!$H:$H,MATCH(C71,Matches_2!$A:$A,0)),""),Scoring_Constants!$B$8,0))</f>
        <v/>
      </c>
      <c r="M71">
        <f>SUM(I71:L71)</f>
        <v/>
      </c>
      <c r="O71" t="b">
        <v>0</v>
      </c>
    </row>
    <row r="72">
      <c r="A72" t="inlineStr">
        <is>
          <t>M003</t>
        </is>
      </c>
      <c r="B72">
        <f>IFERROR(INDEX(Managers!$B:$B,MATCH(A72,Managers!$A:$A,0)),"")</f>
        <v/>
      </c>
      <c r="C72" t="inlineStr">
        <is>
          <t>R32_09</t>
        </is>
      </c>
      <c r="D72">
        <f>IFERROR(INDEX(Matches_2!$B:$B,MATCH(C72,Matches_2!$A:$A,0)),"")</f>
        <v/>
      </c>
      <c r="I72">
        <f>IF(OR(E72="",IFERROR(INDEX(Matches_2!$F:$F,MATCH(C72,Matches_2!$A:$A,0)),"")=""),0,IF(E72=IFERROR(INDEX(Matches_2!$F:$F,MATCH(C72,Matches_2!$A:$A,0)),""),Scoring_Constants!$B$6,0))</f>
        <v/>
      </c>
      <c r="J72">
        <f>IF(OR(F72="",IFERROR(INDEX(Matches_2!$G:$G,MATCH(C72,Matches_2!$A:$A,0)),"")=""),0,IF(ISNUMBER(SEARCH(F72,IFERROR(INDEX(Matches_2!$G:$G,MATCH(C72,Matches_2!$A:$A,0)),""))),Scoring_Constants!$B$7,0))</f>
        <v/>
      </c>
      <c r="K72">
        <f>IF(OR(G72="",IFERROR(INDEX(Matches_2!$G:$G,MATCH(C72,Matches_2!$A:$A,0)),"")=""),0,IF(AND(ISNUMBER(SEARCH(G72,IFERROR(INDEX(Matches_2!$G:$G,MATCH(C72,Matches_2!$A:$A,0)),""))),G72&lt;&gt;F72),Scoring_Constants!$B$7,0))</f>
        <v/>
      </c>
      <c r="L72">
        <f>IF(OR(H72="",IFERROR(INDEX(Matches_2!$H:$H,MATCH(C72,Matches_2!$A:$A,0)),"")=""),0,IF(H72=IFERROR(INDEX(Matches_2!$H:$H,MATCH(C72,Matches_2!$A:$A,0)),""),Scoring_Constants!$B$8,0))</f>
        <v/>
      </c>
      <c r="M72">
        <f>SUM(I72:L72)</f>
        <v/>
      </c>
      <c r="O72" t="b">
        <v>0</v>
      </c>
    </row>
    <row r="73">
      <c r="A73" t="inlineStr">
        <is>
          <t>M003</t>
        </is>
      </c>
      <c r="B73">
        <f>IFERROR(INDEX(Managers!$B:$B,MATCH(A73,Managers!$A:$A,0)),"")</f>
        <v/>
      </c>
      <c r="C73" t="inlineStr">
        <is>
          <t>R32_10</t>
        </is>
      </c>
      <c r="D73">
        <f>IFERROR(INDEX(Matches_2!$B:$B,MATCH(C73,Matches_2!$A:$A,0)),"")</f>
        <v/>
      </c>
      <c r="I73">
        <f>IF(OR(E73="",IFERROR(INDEX(Matches_2!$F:$F,MATCH(C73,Matches_2!$A:$A,0)),"")=""),0,IF(E73=IFERROR(INDEX(Matches_2!$F:$F,MATCH(C73,Matches_2!$A:$A,0)),""),Scoring_Constants!$B$6,0))</f>
        <v/>
      </c>
      <c r="J73">
        <f>IF(OR(F73="",IFERROR(INDEX(Matches_2!$G:$G,MATCH(C73,Matches_2!$A:$A,0)),"")=""),0,IF(ISNUMBER(SEARCH(F73,IFERROR(INDEX(Matches_2!$G:$G,MATCH(C73,Matches_2!$A:$A,0)),""))),Scoring_Constants!$B$7,0))</f>
        <v/>
      </c>
      <c r="K73">
        <f>IF(OR(G73="",IFERROR(INDEX(Matches_2!$G:$G,MATCH(C73,Matches_2!$A:$A,0)),"")=""),0,IF(AND(ISNUMBER(SEARCH(G73,IFERROR(INDEX(Matches_2!$G:$G,MATCH(C73,Matches_2!$A:$A,0)),""))),G73&lt;&gt;F73),Scoring_Constants!$B$7,0))</f>
        <v/>
      </c>
      <c r="L73">
        <f>IF(OR(H73="",IFERROR(INDEX(Matches_2!$H:$H,MATCH(C73,Matches_2!$A:$A,0)),"")=""),0,IF(H73=IFERROR(INDEX(Matches_2!$H:$H,MATCH(C73,Matches_2!$A:$A,0)),""),Scoring_Constants!$B$8,0))</f>
        <v/>
      </c>
      <c r="M73">
        <f>SUM(I73:L73)</f>
        <v/>
      </c>
      <c r="O73" t="b">
        <v>0</v>
      </c>
    </row>
    <row r="74">
      <c r="A74" t="inlineStr">
        <is>
          <t>M003</t>
        </is>
      </c>
      <c r="B74">
        <f>IFERROR(INDEX(Managers!$B:$B,MATCH(A74,Managers!$A:$A,0)),"")</f>
        <v/>
      </c>
      <c r="C74" t="inlineStr">
        <is>
          <t>R32_11</t>
        </is>
      </c>
      <c r="D74">
        <f>IFERROR(INDEX(Matches_2!$B:$B,MATCH(C74,Matches_2!$A:$A,0)),"")</f>
        <v/>
      </c>
      <c r="I74">
        <f>IF(OR(E74="",IFERROR(INDEX(Matches_2!$F:$F,MATCH(C74,Matches_2!$A:$A,0)),"")=""),0,IF(E74=IFERROR(INDEX(Matches_2!$F:$F,MATCH(C74,Matches_2!$A:$A,0)),""),Scoring_Constants!$B$6,0))</f>
        <v/>
      </c>
      <c r="J74">
        <f>IF(OR(F74="",IFERROR(INDEX(Matches_2!$G:$G,MATCH(C74,Matches_2!$A:$A,0)),"")=""),0,IF(ISNUMBER(SEARCH(F74,IFERROR(INDEX(Matches_2!$G:$G,MATCH(C74,Matches_2!$A:$A,0)),""))),Scoring_Constants!$B$7,0))</f>
        <v/>
      </c>
      <c r="K74">
        <f>IF(OR(G74="",IFERROR(INDEX(Matches_2!$G:$G,MATCH(C74,Matches_2!$A:$A,0)),"")=""),0,IF(AND(ISNUMBER(SEARCH(G74,IFERROR(INDEX(Matches_2!$G:$G,MATCH(C74,Matches_2!$A:$A,0)),""))),G74&lt;&gt;F74),Scoring_Constants!$B$7,0))</f>
        <v/>
      </c>
      <c r="L74">
        <f>IF(OR(H74="",IFERROR(INDEX(Matches_2!$H:$H,MATCH(C74,Matches_2!$A:$A,0)),"")=""),0,IF(H74=IFERROR(INDEX(Matches_2!$H:$H,MATCH(C74,Matches_2!$A:$A,0)),""),Scoring_Constants!$B$8,0))</f>
        <v/>
      </c>
      <c r="M74">
        <f>SUM(I74:L74)</f>
        <v/>
      </c>
      <c r="O74" t="b">
        <v>0</v>
      </c>
    </row>
    <row r="75">
      <c r="A75" t="inlineStr">
        <is>
          <t>M003</t>
        </is>
      </c>
      <c r="B75">
        <f>IFERROR(INDEX(Managers!$B:$B,MATCH(A75,Managers!$A:$A,0)),"")</f>
        <v/>
      </c>
      <c r="C75" t="inlineStr">
        <is>
          <t>R32_12</t>
        </is>
      </c>
      <c r="D75">
        <f>IFERROR(INDEX(Matches_2!$B:$B,MATCH(C75,Matches_2!$A:$A,0)),"")</f>
        <v/>
      </c>
      <c r="I75">
        <f>IF(OR(E75="",IFERROR(INDEX(Matches_2!$F:$F,MATCH(C75,Matches_2!$A:$A,0)),"")=""),0,IF(E75=IFERROR(INDEX(Matches_2!$F:$F,MATCH(C75,Matches_2!$A:$A,0)),""),Scoring_Constants!$B$6,0))</f>
        <v/>
      </c>
      <c r="J75">
        <f>IF(OR(F75="",IFERROR(INDEX(Matches_2!$G:$G,MATCH(C75,Matches_2!$A:$A,0)),"")=""),0,IF(ISNUMBER(SEARCH(F75,IFERROR(INDEX(Matches_2!$G:$G,MATCH(C75,Matches_2!$A:$A,0)),""))),Scoring_Constants!$B$7,0))</f>
        <v/>
      </c>
      <c r="K75">
        <f>IF(OR(G75="",IFERROR(INDEX(Matches_2!$G:$G,MATCH(C75,Matches_2!$A:$A,0)),"")=""),0,IF(AND(ISNUMBER(SEARCH(G75,IFERROR(INDEX(Matches_2!$G:$G,MATCH(C75,Matches_2!$A:$A,0)),""))),G75&lt;&gt;F75),Scoring_Constants!$B$7,0))</f>
        <v/>
      </c>
      <c r="L75">
        <f>IF(OR(H75="",IFERROR(INDEX(Matches_2!$H:$H,MATCH(C75,Matches_2!$A:$A,0)),"")=""),0,IF(H75=IFERROR(INDEX(Matches_2!$H:$H,MATCH(C75,Matches_2!$A:$A,0)),""),Scoring_Constants!$B$8,0))</f>
        <v/>
      </c>
      <c r="M75">
        <f>SUM(I75:L75)</f>
        <v/>
      </c>
      <c r="O75" t="b">
        <v>0</v>
      </c>
    </row>
    <row r="76">
      <c r="A76" t="inlineStr">
        <is>
          <t>M003</t>
        </is>
      </c>
      <c r="B76">
        <f>IFERROR(INDEX(Managers!$B:$B,MATCH(A76,Managers!$A:$A,0)),"")</f>
        <v/>
      </c>
      <c r="C76" t="inlineStr">
        <is>
          <t>R32_13</t>
        </is>
      </c>
      <c r="D76">
        <f>IFERROR(INDEX(Matches_2!$B:$B,MATCH(C76,Matches_2!$A:$A,0)),"")</f>
        <v/>
      </c>
      <c r="I76">
        <f>IF(OR(E76="",IFERROR(INDEX(Matches_2!$F:$F,MATCH(C76,Matches_2!$A:$A,0)),"")=""),0,IF(E76=IFERROR(INDEX(Matches_2!$F:$F,MATCH(C76,Matches_2!$A:$A,0)),""),Scoring_Constants!$B$6,0))</f>
        <v/>
      </c>
      <c r="J76">
        <f>IF(OR(F76="",IFERROR(INDEX(Matches_2!$G:$G,MATCH(C76,Matches_2!$A:$A,0)),"")=""),0,IF(ISNUMBER(SEARCH(F76,IFERROR(INDEX(Matches_2!$G:$G,MATCH(C76,Matches_2!$A:$A,0)),""))),Scoring_Constants!$B$7,0))</f>
        <v/>
      </c>
      <c r="K76">
        <f>IF(OR(G76="",IFERROR(INDEX(Matches_2!$G:$G,MATCH(C76,Matches_2!$A:$A,0)),"")=""),0,IF(AND(ISNUMBER(SEARCH(G76,IFERROR(INDEX(Matches_2!$G:$G,MATCH(C76,Matches_2!$A:$A,0)),""))),G76&lt;&gt;F76),Scoring_Constants!$B$7,0))</f>
        <v/>
      </c>
      <c r="L76">
        <f>IF(OR(H76="",IFERROR(INDEX(Matches_2!$H:$H,MATCH(C76,Matches_2!$A:$A,0)),"")=""),0,IF(H76=IFERROR(INDEX(Matches_2!$H:$H,MATCH(C76,Matches_2!$A:$A,0)),""),Scoring_Constants!$B$8,0))</f>
        <v/>
      </c>
      <c r="M76">
        <f>SUM(I76:L76)</f>
        <v/>
      </c>
      <c r="O76" t="b">
        <v>0</v>
      </c>
    </row>
    <row r="77">
      <c r="A77" t="inlineStr">
        <is>
          <t>M003</t>
        </is>
      </c>
      <c r="B77">
        <f>IFERROR(INDEX(Managers!$B:$B,MATCH(A77,Managers!$A:$A,0)),"")</f>
        <v/>
      </c>
      <c r="C77" t="inlineStr">
        <is>
          <t>R32_14</t>
        </is>
      </c>
      <c r="D77">
        <f>IFERROR(INDEX(Matches_2!$B:$B,MATCH(C77,Matches_2!$A:$A,0)),"")</f>
        <v/>
      </c>
      <c r="I77">
        <f>IF(OR(E77="",IFERROR(INDEX(Matches_2!$F:$F,MATCH(C77,Matches_2!$A:$A,0)),"")=""),0,IF(E77=IFERROR(INDEX(Matches_2!$F:$F,MATCH(C77,Matches_2!$A:$A,0)),""),Scoring_Constants!$B$6,0))</f>
        <v/>
      </c>
      <c r="J77">
        <f>IF(OR(F77="",IFERROR(INDEX(Matches_2!$G:$G,MATCH(C77,Matches_2!$A:$A,0)),"")=""),0,IF(ISNUMBER(SEARCH(F77,IFERROR(INDEX(Matches_2!$G:$G,MATCH(C77,Matches_2!$A:$A,0)),""))),Scoring_Constants!$B$7,0))</f>
        <v/>
      </c>
      <c r="K77">
        <f>IF(OR(G77="",IFERROR(INDEX(Matches_2!$G:$G,MATCH(C77,Matches_2!$A:$A,0)),"")=""),0,IF(AND(ISNUMBER(SEARCH(G77,IFERROR(INDEX(Matches_2!$G:$G,MATCH(C77,Matches_2!$A:$A,0)),""))),G77&lt;&gt;F77),Scoring_Constants!$B$7,0))</f>
        <v/>
      </c>
      <c r="L77">
        <f>IF(OR(H77="",IFERROR(INDEX(Matches_2!$H:$H,MATCH(C77,Matches_2!$A:$A,0)),"")=""),0,IF(H77=IFERROR(INDEX(Matches_2!$H:$H,MATCH(C77,Matches_2!$A:$A,0)),""),Scoring_Constants!$B$8,0))</f>
        <v/>
      </c>
      <c r="M77">
        <f>SUM(I77:L77)</f>
        <v/>
      </c>
      <c r="O77" t="b">
        <v>0</v>
      </c>
    </row>
    <row r="78">
      <c r="A78" t="inlineStr">
        <is>
          <t>M003</t>
        </is>
      </c>
      <c r="B78">
        <f>IFERROR(INDEX(Managers!$B:$B,MATCH(A78,Managers!$A:$A,0)),"")</f>
        <v/>
      </c>
      <c r="C78" t="inlineStr">
        <is>
          <t>R32_15</t>
        </is>
      </c>
      <c r="D78">
        <f>IFERROR(INDEX(Matches_2!$B:$B,MATCH(C78,Matches_2!$A:$A,0)),"")</f>
        <v/>
      </c>
      <c r="I78">
        <f>IF(OR(E78="",IFERROR(INDEX(Matches_2!$F:$F,MATCH(C78,Matches_2!$A:$A,0)),"")=""),0,IF(E78=IFERROR(INDEX(Matches_2!$F:$F,MATCH(C78,Matches_2!$A:$A,0)),""),Scoring_Constants!$B$6,0))</f>
        <v/>
      </c>
      <c r="J78">
        <f>IF(OR(F78="",IFERROR(INDEX(Matches_2!$G:$G,MATCH(C78,Matches_2!$A:$A,0)),"")=""),0,IF(ISNUMBER(SEARCH(F78,IFERROR(INDEX(Matches_2!$G:$G,MATCH(C78,Matches_2!$A:$A,0)),""))),Scoring_Constants!$B$7,0))</f>
        <v/>
      </c>
      <c r="K78">
        <f>IF(OR(G78="",IFERROR(INDEX(Matches_2!$G:$G,MATCH(C78,Matches_2!$A:$A,0)),"")=""),0,IF(AND(ISNUMBER(SEARCH(G78,IFERROR(INDEX(Matches_2!$G:$G,MATCH(C78,Matches_2!$A:$A,0)),""))),G78&lt;&gt;F78),Scoring_Constants!$B$7,0))</f>
        <v/>
      </c>
      <c r="L78">
        <f>IF(OR(H78="",IFERROR(INDEX(Matches_2!$H:$H,MATCH(C78,Matches_2!$A:$A,0)),"")=""),0,IF(H78=IFERROR(INDEX(Matches_2!$H:$H,MATCH(C78,Matches_2!$A:$A,0)),""),Scoring_Constants!$B$8,0))</f>
        <v/>
      </c>
      <c r="M78">
        <f>SUM(I78:L78)</f>
        <v/>
      </c>
      <c r="O78" t="b">
        <v>0</v>
      </c>
    </row>
    <row r="79">
      <c r="A79" t="inlineStr">
        <is>
          <t>M003</t>
        </is>
      </c>
      <c r="B79">
        <f>IFERROR(INDEX(Managers!$B:$B,MATCH(A79,Managers!$A:$A,0)),"")</f>
        <v/>
      </c>
      <c r="C79" t="inlineStr">
        <is>
          <t>R32_16</t>
        </is>
      </c>
      <c r="D79">
        <f>IFERROR(INDEX(Matches_2!$B:$B,MATCH(C79,Matches_2!$A:$A,0)),"")</f>
        <v/>
      </c>
      <c r="I79">
        <f>IF(OR(E79="",IFERROR(INDEX(Matches_2!$F:$F,MATCH(C79,Matches_2!$A:$A,0)),"")=""),0,IF(E79=IFERROR(INDEX(Matches_2!$F:$F,MATCH(C79,Matches_2!$A:$A,0)),""),Scoring_Constants!$B$6,0))</f>
        <v/>
      </c>
      <c r="J79">
        <f>IF(OR(F79="",IFERROR(INDEX(Matches_2!$G:$G,MATCH(C79,Matches_2!$A:$A,0)),"")=""),0,IF(ISNUMBER(SEARCH(F79,IFERROR(INDEX(Matches_2!$G:$G,MATCH(C79,Matches_2!$A:$A,0)),""))),Scoring_Constants!$B$7,0))</f>
        <v/>
      </c>
      <c r="K79">
        <f>IF(OR(G79="",IFERROR(INDEX(Matches_2!$G:$G,MATCH(C79,Matches_2!$A:$A,0)),"")=""),0,IF(AND(ISNUMBER(SEARCH(G79,IFERROR(INDEX(Matches_2!$G:$G,MATCH(C79,Matches_2!$A:$A,0)),""))),G79&lt;&gt;F79),Scoring_Constants!$B$7,0))</f>
        <v/>
      </c>
      <c r="L79">
        <f>IF(OR(H79="",IFERROR(INDEX(Matches_2!$H:$H,MATCH(C79,Matches_2!$A:$A,0)),"")=""),0,IF(H79=IFERROR(INDEX(Matches_2!$H:$H,MATCH(C79,Matches_2!$A:$A,0)),""),Scoring_Constants!$B$8,0))</f>
        <v/>
      </c>
      <c r="M79">
        <f>SUM(I79:L79)</f>
        <v/>
      </c>
      <c r="O79" t="b">
        <v>0</v>
      </c>
    </row>
    <row r="80">
      <c r="A80" t="inlineStr">
        <is>
          <t>M003</t>
        </is>
      </c>
      <c r="B80">
        <f>IFERROR(INDEX(Managers!$B:$B,MATCH(A80,Managers!$A:$A,0)),"")</f>
        <v/>
      </c>
      <c r="C80" t="inlineStr">
        <is>
          <t>R16_01</t>
        </is>
      </c>
      <c r="D80">
        <f>IFERROR(INDEX(Matches_2!$B:$B,MATCH(C80,Matches_2!$A:$A,0)),"")</f>
        <v/>
      </c>
      <c r="I80">
        <f>IF(OR(E80="",IFERROR(INDEX(Matches_2!$F:$F,MATCH(C80,Matches_2!$A:$A,0)),"")=""),0,IF(E80=IFERROR(INDEX(Matches_2!$F:$F,MATCH(C80,Matches_2!$A:$A,0)),""),Scoring_Constants!$B$6,0))</f>
        <v/>
      </c>
      <c r="J80">
        <f>IF(OR(F80="",IFERROR(INDEX(Matches_2!$G:$G,MATCH(C80,Matches_2!$A:$A,0)),"")=""),0,IF(ISNUMBER(SEARCH(F80,IFERROR(INDEX(Matches_2!$G:$G,MATCH(C80,Matches_2!$A:$A,0)),""))),Scoring_Constants!$B$7,0))</f>
        <v/>
      </c>
      <c r="K80">
        <f>IF(OR(G80="",IFERROR(INDEX(Matches_2!$G:$G,MATCH(C80,Matches_2!$A:$A,0)),"")=""),0,IF(AND(ISNUMBER(SEARCH(G80,IFERROR(INDEX(Matches_2!$G:$G,MATCH(C80,Matches_2!$A:$A,0)),""))),G80&lt;&gt;F80),Scoring_Constants!$B$7,0))</f>
        <v/>
      </c>
      <c r="L80">
        <f>IF(OR(H80="",IFERROR(INDEX(Matches_2!$H:$H,MATCH(C80,Matches_2!$A:$A,0)),"")=""),0,IF(H80=IFERROR(INDEX(Matches_2!$H:$H,MATCH(C80,Matches_2!$A:$A,0)),""),Scoring_Constants!$B$8,0))</f>
        <v/>
      </c>
      <c r="M80">
        <f>SUM(I80:L80)</f>
        <v/>
      </c>
      <c r="O80" t="b">
        <v>0</v>
      </c>
    </row>
    <row r="81">
      <c r="A81" t="inlineStr">
        <is>
          <t>M003</t>
        </is>
      </c>
      <c r="B81">
        <f>IFERROR(INDEX(Managers!$B:$B,MATCH(A81,Managers!$A:$A,0)),"")</f>
        <v/>
      </c>
      <c r="C81" t="inlineStr">
        <is>
          <t>R16_02</t>
        </is>
      </c>
      <c r="D81">
        <f>IFERROR(INDEX(Matches_2!$B:$B,MATCH(C81,Matches_2!$A:$A,0)),"")</f>
        <v/>
      </c>
      <c r="I81">
        <f>IF(OR(E81="",IFERROR(INDEX(Matches_2!$F:$F,MATCH(C81,Matches_2!$A:$A,0)),"")=""),0,IF(E81=IFERROR(INDEX(Matches_2!$F:$F,MATCH(C81,Matches_2!$A:$A,0)),""),Scoring_Constants!$B$6,0))</f>
        <v/>
      </c>
      <c r="J81">
        <f>IF(OR(F81="",IFERROR(INDEX(Matches_2!$G:$G,MATCH(C81,Matches_2!$A:$A,0)),"")=""),0,IF(ISNUMBER(SEARCH(F81,IFERROR(INDEX(Matches_2!$G:$G,MATCH(C81,Matches_2!$A:$A,0)),""))),Scoring_Constants!$B$7,0))</f>
        <v/>
      </c>
      <c r="K81">
        <f>IF(OR(G81="",IFERROR(INDEX(Matches_2!$G:$G,MATCH(C81,Matches_2!$A:$A,0)),"")=""),0,IF(AND(ISNUMBER(SEARCH(G81,IFERROR(INDEX(Matches_2!$G:$G,MATCH(C81,Matches_2!$A:$A,0)),""))),G81&lt;&gt;F81),Scoring_Constants!$B$7,0))</f>
        <v/>
      </c>
      <c r="L81">
        <f>IF(OR(H81="",IFERROR(INDEX(Matches_2!$H:$H,MATCH(C81,Matches_2!$A:$A,0)),"")=""),0,IF(H81=IFERROR(INDEX(Matches_2!$H:$H,MATCH(C81,Matches_2!$A:$A,0)),""),Scoring_Constants!$B$8,0))</f>
        <v/>
      </c>
      <c r="M81">
        <f>SUM(I81:L81)</f>
        <v/>
      </c>
      <c r="O81" t="b">
        <v>0</v>
      </c>
    </row>
    <row r="82">
      <c r="A82" t="inlineStr">
        <is>
          <t>M003</t>
        </is>
      </c>
      <c r="B82">
        <f>IFERROR(INDEX(Managers!$B:$B,MATCH(A82,Managers!$A:$A,0)),"")</f>
        <v/>
      </c>
      <c r="C82" t="inlineStr">
        <is>
          <t>R16_03</t>
        </is>
      </c>
      <c r="D82">
        <f>IFERROR(INDEX(Matches_2!$B:$B,MATCH(C82,Matches_2!$A:$A,0)),"")</f>
        <v/>
      </c>
      <c r="I82">
        <f>IF(OR(E82="",IFERROR(INDEX(Matches_2!$F:$F,MATCH(C82,Matches_2!$A:$A,0)),"")=""),0,IF(E82=IFERROR(INDEX(Matches_2!$F:$F,MATCH(C82,Matches_2!$A:$A,0)),""),Scoring_Constants!$B$6,0))</f>
        <v/>
      </c>
      <c r="J82">
        <f>IF(OR(F82="",IFERROR(INDEX(Matches_2!$G:$G,MATCH(C82,Matches_2!$A:$A,0)),"")=""),0,IF(ISNUMBER(SEARCH(F82,IFERROR(INDEX(Matches_2!$G:$G,MATCH(C82,Matches_2!$A:$A,0)),""))),Scoring_Constants!$B$7,0))</f>
        <v/>
      </c>
      <c r="K82">
        <f>IF(OR(G82="",IFERROR(INDEX(Matches_2!$G:$G,MATCH(C82,Matches_2!$A:$A,0)),"")=""),0,IF(AND(ISNUMBER(SEARCH(G82,IFERROR(INDEX(Matches_2!$G:$G,MATCH(C82,Matches_2!$A:$A,0)),""))),G82&lt;&gt;F82),Scoring_Constants!$B$7,0))</f>
        <v/>
      </c>
      <c r="L82">
        <f>IF(OR(H82="",IFERROR(INDEX(Matches_2!$H:$H,MATCH(C82,Matches_2!$A:$A,0)),"")=""),0,IF(H82=IFERROR(INDEX(Matches_2!$H:$H,MATCH(C82,Matches_2!$A:$A,0)),""),Scoring_Constants!$B$8,0))</f>
        <v/>
      </c>
      <c r="M82">
        <f>SUM(I82:L82)</f>
        <v/>
      </c>
      <c r="O82" t="b">
        <v>0</v>
      </c>
    </row>
    <row r="83">
      <c r="A83" t="inlineStr">
        <is>
          <t>M003</t>
        </is>
      </c>
      <c r="B83">
        <f>IFERROR(INDEX(Managers!$B:$B,MATCH(A83,Managers!$A:$A,0)),"")</f>
        <v/>
      </c>
      <c r="C83" t="inlineStr">
        <is>
          <t>R16_04</t>
        </is>
      </c>
      <c r="D83">
        <f>IFERROR(INDEX(Matches_2!$B:$B,MATCH(C83,Matches_2!$A:$A,0)),"")</f>
        <v/>
      </c>
      <c r="I83">
        <f>IF(OR(E83="",IFERROR(INDEX(Matches_2!$F:$F,MATCH(C83,Matches_2!$A:$A,0)),"")=""),0,IF(E83=IFERROR(INDEX(Matches_2!$F:$F,MATCH(C83,Matches_2!$A:$A,0)),""),Scoring_Constants!$B$6,0))</f>
        <v/>
      </c>
      <c r="J83">
        <f>IF(OR(F83="",IFERROR(INDEX(Matches_2!$G:$G,MATCH(C83,Matches_2!$A:$A,0)),"")=""),0,IF(ISNUMBER(SEARCH(F83,IFERROR(INDEX(Matches_2!$G:$G,MATCH(C83,Matches_2!$A:$A,0)),""))),Scoring_Constants!$B$7,0))</f>
        <v/>
      </c>
      <c r="K83">
        <f>IF(OR(G83="",IFERROR(INDEX(Matches_2!$G:$G,MATCH(C83,Matches_2!$A:$A,0)),"")=""),0,IF(AND(ISNUMBER(SEARCH(G83,IFERROR(INDEX(Matches_2!$G:$G,MATCH(C83,Matches_2!$A:$A,0)),""))),G83&lt;&gt;F83),Scoring_Constants!$B$7,0))</f>
        <v/>
      </c>
      <c r="L83">
        <f>IF(OR(H83="",IFERROR(INDEX(Matches_2!$H:$H,MATCH(C83,Matches_2!$A:$A,0)),"")=""),0,IF(H83=IFERROR(INDEX(Matches_2!$H:$H,MATCH(C83,Matches_2!$A:$A,0)),""),Scoring_Constants!$B$8,0))</f>
        <v/>
      </c>
      <c r="M83">
        <f>SUM(I83:L83)</f>
        <v/>
      </c>
      <c r="O83" t="b">
        <v>0</v>
      </c>
    </row>
    <row r="84">
      <c r="A84" t="inlineStr">
        <is>
          <t>M003</t>
        </is>
      </c>
      <c r="B84">
        <f>IFERROR(INDEX(Managers!$B:$B,MATCH(A84,Managers!$A:$A,0)),"")</f>
        <v/>
      </c>
      <c r="C84" t="inlineStr">
        <is>
          <t>R16_05</t>
        </is>
      </c>
      <c r="D84">
        <f>IFERROR(INDEX(Matches_2!$B:$B,MATCH(C84,Matches_2!$A:$A,0)),"")</f>
        <v/>
      </c>
      <c r="I84">
        <f>IF(OR(E84="",IFERROR(INDEX(Matches_2!$F:$F,MATCH(C84,Matches_2!$A:$A,0)),"")=""),0,IF(E84=IFERROR(INDEX(Matches_2!$F:$F,MATCH(C84,Matches_2!$A:$A,0)),""),Scoring_Constants!$B$6,0))</f>
        <v/>
      </c>
      <c r="J84">
        <f>IF(OR(F84="",IFERROR(INDEX(Matches_2!$G:$G,MATCH(C84,Matches_2!$A:$A,0)),"")=""),0,IF(ISNUMBER(SEARCH(F84,IFERROR(INDEX(Matches_2!$G:$G,MATCH(C84,Matches_2!$A:$A,0)),""))),Scoring_Constants!$B$7,0))</f>
        <v/>
      </c>
      <c r="K84">
        <f>IF(OR(G84="",IFERROR(INDEX(Matches_2!$G:$G,MATCH(C84,Matches_2!$A:$A,0)),"")=""),0,IF(AND(ISNUMBER(SEARCH(G84,IFERROR(INDEX(Matches_2!$G:$G,MATCH(C84,Matches_2!$A:$A,0)),""))),G84&lt;&gt;F84),Scoring_Constants!$B$7,0))</f>
        <v/>
      </c>
      <c r="L84">
        <f>IF(OR(H84="",IFERROR(INDEX(Matches_2!$H:$H,MATCH(C84,Matches_2!$A:$A,0)),"")=""),0,IF(H84=IFERROR(INDEX(Matches_2!$H:$H,MATCH(C84,Matches_2!$A:$A,0)),""),Scoring_Constants!$B$8,0))</f>
        <v/>
      </c>
      <c r="M84">
        <f>SUM(I84:L84)</f>
        <v/>
      </c>
      <c r="O84" t="b">
        <v>0</v>
      </c>
    </row>
    <row r="85">
      <c r="A85" t="inlineStr">
        <is>
          <t>M003</t>
        </is>
      </c>
      <c r="B85">
        <f>IFERROR(INDEX(Managers!$B:$B,MATCH(A85,Managers!$A:$A,0)),"")</f>
        <v/>
      </c>
      <c r="C85" t="inlineStr">
        <is>
          <t>R16_06</t>
        </is>
      </c>
      <c r="D85">
        <f>IFERROR(INDEX(Matches_2!$B:$B,MATCH(C85,Matches_2!$A:$A,0)),"")</f>
        <v/>
      </c>
      <c r="I85">
        <f>IF(OR(E85="",IFERROR(INDEX(Matches_2!$F:$F,MATCH(C85,Matches_2!$A:$A,0)),"")=""),0,IF(E85=IFERROR(INDEX(Matches_2!$F:$F,MATCH(C85,Matches_2!$A:$A,0)),""),Scoring_Constants!$B$6,0))</f>
        <v/>
      </c>
      <c r="J85">
        <f>IF(OR(F85="",IFERROR(INDEX(Matches_2!$G:$G,MATCH(C85,Matches_2!$A:$A,0)),"")=""),0,IF(ISNUMBER(SEARCH(F85,IFERROR(INDEX(Matches_2!$G:$G,MATCH(C85,Matches_2!$A:$A,0)),""))),Scoring_Constants!$B$7,0))</f>
        <v/>
      </c>
      <c r="K85">
        <f>IF(OR(G85="",IFERROR(INDEX(Matches_2!$G:$G,MATCH(C85,Matches_2!$A:$A,0)),"")=""),0,IF(AND(ISNUMBER(SEARCH(G85,IFERROR(INDEX(Matches_2!$G:$G,MATCH(C85,Matches_2!$A:$A,0)),""))),G85&lt;&gt;F85),Scoring_Constants!$B$7,0))</f>
        <v/>
      </c>
      <c r="L85">
        <f>IF(OR(H85="",IFERROR(INDEX(Matches_2!$H:$H,MATCH(C85,Matches_2!$A:$A,0)),"")=""),0,IF(H85=IFERROR(INDEX(Matches_2!$H:$H,MATCH(C85,Matches_2!$A:$A,0)),""),Scoring_Constants!$B$8,0))</f>
        <v/>
      </c>
      <c r="M85">
        <f>SUM(I85:L85)</f>
        <v/>
      </c>
      <c r="O85" t="b">
        <v>0</v>
      </c>
    </row>
    <row r="86">
      <c r="A86" t="inlineStr">
        <is>
          <t>M003</t>
        </is>
      </c>
      <c r="B86">
        <f>IFERROR(INDEX(Managers!$B:$B,MATCH(A86,Managers!$A:$A,0)),"")</f>
        <v/>
      </c>
      <c r="C86" t="inlineStr">
        <is>
          <t>R16_07</t>
        </is>
      </c>
      <c r="D86">
        <f>IFERROR(INDEX(Matches_2!$B:$B,MATCH(C86,Matches_2!$A:$A,0)),"")</f>
        <v/>
      </c>
      <c r="I86">
        <f>IF(OR(E86="",IFERROR(INDEX(Matches_2!$F:$F,MATCH(C86,Matches_2!$A:$A,0)),"")=""),0,IF(E86=IFERROR(INDEX(Matches_2!$F:$F,MATCH(C86,Matches_2!$A:$A,0)),""),Scoring_Constants!$B$6,0))</f>
        <v/>
      </c>
      <c r="J86">
        <f>IF(OR(F86="",IFERROR(INDEX(Matches_2!$G:$G,MATCH(C86,Matches_2!$A:$A,0)),"")=""),0,IF(ISNUMBER(SEARCH(F86,IFERROR(INDEX(Matches_2!$G:$G,MATCH(C86,Matches_2!$A:$A,0)),""))),Scoring_Constants!$B$7,0))</f>
        <v/>
      </c>
      <c r="K86">
        <f>IF(OR(G86="",IFERROR(INDEX(Matches_2!$G:$G,MATCH(C86,Matches_2!$A:$A,0)),"")=""),0,IF(AND(ISNUMBER(SEARCH(G86,IFERROR(INDEX(Matches_2!$G:$G,MATCH(C86,Matches_2!$A:$A,0)),""))),G86&lt;&gt;F86),Scoring_Constants!$B$7,0))</f>
        <v/>
      </c>
      <c r="L86">
        <f>IF(OR(H86="",IFERROR(INDEX(Matches_2!$H:$H,MATCH(C86,Matches_2!$A:$A,0)),"")=""),0,IF(H86=IFERROR(INDEX(Matches_2!$H:$H,MATCH(C86,Matches_2!$A:$A,0)),""),Scoring_Constants!$B$8,0))</f>
        <v/>
      </c>
      <c r="M86">
        <f>SUM(I86:L86)</f>
        <v/>
      </c>
      <c r="O86" t="b">
        <v>0</v>
      </c>
    </row>
    <row r="87">
      <c r="A87" t="inlineStr">
        <is>
          <t>M003</t>
        </is>
      </c>
      <c r="B87">
        <f>IFERROR(INDEX(Managers!$B:$B,MATCH(A87,Managers!$A:$A,0)),"")</f>
        <v/>
      </c>
      <c r="C87" t="inlineStr">
        <is>
          <t>R16_08</t>
        </is>
      </c>
      <c r="D87">
        <f>IFERROR(INDEX(Matches_2!$B:$B,MATCH(C87,Matches_2!$A:$A,0)),"")</f>
        <v/>
      </c>
      <c r="I87">
        <f>IF(OR(E87="",IFERROR(INDEX(Matches_2!$F:$F,MATCH(C87,Matches_2!$A:$A,0)),"")=""),0,IF(E87=IFERROR(INDEX(Matches_2!$F:$F,MATCH(C87,Matches_2!$A:$A,0)),""),Scoring_Constants!$B$6,0))</f>
        <v/>
      </c>
      <c r="J87">
        <f>IF(OR(F87="",IFERROR(INDEX(Matches_2!$G:$G,MATCH(C87,Matches_2!$A:$A,0)),"")=""),0,IF(ISNUMBER(SEARCH(F87,IFERROR(INDEX(Matches_2!$G:$G,MATCH(C87,Matches_2!$A:$A,0)),""))),Scoring_Constants!$B$7,0))</f>
        <v/>
      </c>
      <c r="K87">
        <f>IF(OR(G87="",IFERROR(INDEX(Matches_2!$G:$G,MATCH(C87,Matches_2!$A:$A,0)),"")=""),0,IF(AND(ISNUMBER(SEARCH(G87,IFERROR(INDEX(Matches_2!$G:$G,MATCH(C87,Matches_2!$A:$A,0)),""))),G87&lt;&gt;F87),Scoring_Constants!$B$7,0))</f>
        <v/>
      </c>
      <c r="L87">
        <f>IF(OR(H87="",IFERROR(INDEX(Matches_2!$H:$H,MATCH(C87,Matches_2!$A:$A,0)),"")=""),0,IF(H87=IFERROR(INDEX(Matches_2!$H:$H,MATCH(C87,Matches_2!$A:$A,0)),""),Scoring_Constants!$B$8,0))</f>
        <v/>
      </c>
      <c r="M87">
        <f>SUM(I87:L87)</f>
        <v/>
      </c>
      <c r="O87" t="b">
        <v>0</v>
      </c>
    </row>
    <row r="88">
      <c r="A88" t="inlineStr">
        <is>
          <t>M003</t>
        </is>
      </c>
      <c r="B88">
        <f>IFERROR(INDEX(Managers!$B:$B,MATCH(A88,Managers!$A:$A,0)),"")</f>
        <v/>
      </c>
      <c r="C88" t="inlineStr">
        <is>
          <t>QF_01</t>
        </is>
      </c>
      <c r="D88">
        <f>IFERROR(INDEX(Matches_2!$B:$B,MATCH(C88,Matches_2!$A:$A,0)),"")</f>
        <v/>
      </c>
      <c r="I88">
        <f>IF(OR(E88="",IFERROR(INDEX(Matches_2!$F:$F,MATCH(C88,Matches_2!$A:$A,0)),"")=""),0,IF(E88=IFERROR(INDEX(Matches_2!$F:$F,MATCH(C88,Matches_2!$A:$A,0)),""),Scoring_Constants!$B$6,0))</f>
        <v/>
      </c>
      <c r="J88">
        <f>IF(OR(F88="",IFERROR(INDEX(Matches_2!$G:$G,MATCH(C88,Matches_2!$A:$A,0)),"")=""),0,IF(ISNUMBER(SEARCH(F88,IFERROR(INDEX(Matches_2!$G:$G,MATCH(C88,Matches_2!$A:$A,0)),""))),Scoring_Constants!$B$7,0))</f>
        <v/>
      </c>
      <c r="K88">
        <f>IF(OR(G88="",IFERROR(INDEX(Matches_2!$G:$G,MATCH(C88,Matches_2!$A:$A,0)),"")=""),0,IF(AND(ISNUMBER(SEARCH(G88,IFERROR(INDEX(Matches_2!$G:$G,MATCH(C88,Matches_2!$A:$A,0)),""))),G88&lt;&gt;F88),Scoring_Constants!$B$7,0))</f>
        <v/>
      </c>
      <c r="L88">
        <f>IF(OR(H88="",IFERROR(INDEX(Matches_2!$H:$H,MATCH(C88,Matches_2!$A:$A,0)),"")=""),0,IF(H88=IFERROR(INDEX(Matches_2!$H:$H,MATCH(C88,Matches_2!$A:$A,0)),""),Scoring_Constants!$B$8,0))</f>
        <v/>
      </c>
      <c r="M88">
        <f>SUM(I88:L88)</f>
        <v/>
      </c>
      <c r="O88" t="b">
        <v>0</v>
      </c>
    </row>
    <row r="89">
      <c r="A89" t="inlineStr">
        <is>
          <t>M003</t>
        </is>
      </c>
      <c r="B89">
        <f>IFERROR(INDEX(Managers!$B:$B,MATCH(A89,Managers!$A:$A,0)),"")</f>
        <v/>
      </c>
      <c r="C89" t="inlineStr">
        <is>
          <t>QF_02</t>
        </is>
      </c>
      <c r="D89">
        <f>IFERROR(INDEX(Matches_2!$B:$B,MATCH(C89,Matches_2!$A:$A,0)),"")</f>
        <v/>
      </c>
      <c r="I89">
        <f>IF(OR(E89="",IFERROR(INDEX(Matches_2!$F:$F,MATCH(C89,Matches_2!$A:$A,0)),"")=""),0,IF(E89=IFERROR(INDEX(Matches_2!$F:$F,MATCH(C89,Matches_2!$A:$A,0)),""),Scoring_Constants!$B$6,0))</f>
        <v/>
      </c>
      <c r="J89">
        <f>IF(OR(F89="",IFERROR(INDEX(Matches_2!$G:$G,MATCH(C89,Matches_2!$A:$A,0)),"")=""),0,IF(ISNUMBER(SEARCH(F89,IFERROR(INDEX(Matches_2!$G:$G,MATCH(C89,Matches_2!$A:$A,0)),""))),Scoring_Constants!$B$7,0))</f>
        <v/>
      </c>
      <c r="K89">
        <f>IF(OR(G89="",IFERROR(INDEX(Matches_2!$G:$G,MATCH(C89,Matches_2!$A:$A,0)),"")=""),0,IF(AND(ISNUMBER(SEARCH(G89,IFERROR(INDEX(Matches_2!$G:$G,MATCH(C89,Matches_2!$A:$A,0)),""))),G89&lt;&gt;F89),Scoring_Constants!$B$7,0))</f>
        <v/>
      </c>
      <c r="L89">
        <f>IF(OR(H89="",IFERROR(INDEX(Matches_2!$H:$H,MATCH(C89,Matches_2!$A:$A,0)),"")=""),0,IF(H89=IFERROR(INDEX(Matches_2!$H:$H,MATCH(C89,Matches_2!$A:$A,0)),""),Scoring_Constants!$B$8,0))</f>
        <v/>
      </c>
      <c r="M89">
        <f>SUM(I89:L89)</f>
        <v/>
      </c>
      <c r="O89" t="b">
        <v>0</v>
      </c>
    </row>
    <row r="90">
      <c r="A90" t="inlineStr">
        <is>
          <t>M003</t>
        </is>
      </c>
      <c r="B90">
        <f>IFERROR(INDEX(Managers!$B:$B,MATCH(A90,Managers!$A:$A,0)),"")</f>
        <v/>
      </c>
      <c r="C90" t="inlineStr">
        <is>
          <t>QF_03</t>
        </is>
      </c>
      <c r="D90">
        <f>IFERROR(INDEX(Matches_2!$B:$B,MATCH(C90,Matches_2!$A:$A,0)),"")</f>
        <v/>
      </c>
      <c r="I90">
        <f>IF(OR(E90="",IFERROR(INDEX(Matches_2!$F:$F,MATCH(C90,Matches_2!$A:$A,0)),"")=""),0,IF(E90=IFERROR(INDEX(Matches_2!$F:$F,MATCH(C90,Matches_2!$A:$A,0)),""),Scoring_Constants!$B$6,0))</f>
        <v/>
      </c>
      <c r="J90">
        <f>IF(OR(F90="",IFERROR(INDEX(Matches_2!$G:$G,MATCH(C90,Matches_2!$A:$A,0)),"")=""),0,IF(ISNUMBER(SEARCH(F90,IFERROR(INDEX(Matches_2!$G:$G,MATCH(C90,Matches_2!$A:$A,0)),""))),Scoring_Constants!$B$7,0))</f>
        <v/>
      </c>
      <c r="K90">
        <f>IF(OR(G90="",IFERROR(INDEX(Matches_2!$G:$G,MATCH(C90,Matches_2!$A:$A,0)),"")=""),0,IF(AND(ISNUMBER(SEARCH(G90,IFERROR(INDEX(Matches_2!$G:$G,MATCH(C90,Matches_2!$A:$A,0)),""))),G90&lt;&gt;F90),Scoring_Constants!$B$7,0))</f>
        <v/>
      </c>
      <c r="L90">
        <f>IF(OR(H90="",IFERROR(INDEX(Matches_2!$H:$H,MATCH(C90,Matches_2!$A:$A,0)),"")=""),0,IF(H90=IFERROR(INDEX(Matches_2!$H:$H,MATCH(C90,Matches_2!$A:$A,0)),""),Scoring_Constants!$B$8,0))</f>
        <v/>
      </c>
      <c r="M90">
        <f>SUM(I90:L90)</f>
        <v/>
      </c>
      <c r="O90" t="b">
        <v>0</v>
      </c>
    </row>
    <row r="91">
      <c r="A91" t="inlineStr">
        <is>
          <t>M003</t>
        </is>
      </c>
      <c r="B91">
        <f>IFERROR(INDEX(Managers!$B:$B,MATCH(A91,Managers!$A:$A,0)),"")</f>
        <v/>
      </c>
      <c r="C91" t="inlineStr">
        <is>
          <t>QF_04</t>
        </is>
      </c>
      <c r="D91">
        <f>IFERROR(INDEX(Matches_2!$B:$B,MATCH(C91,Matches_2!$A:$A,0)),"")</f>
        <v/>
      </c>
      <c r="I91">
        <f>IF(OR(E91="",IFERROR(INDEX(Matches_2!$F:$F,MATCH(C91,Matches_2!$A:$A,0)),"")=""),0,IF(E91=IFERROR(INDEX(Matches_2!$F:$F,MATCH(C91,Matches_2!$A:$A,0)),""),Scoring_Constants!$B$6,0))</f>
        <v/>
      </c>
      <c r="J91">
        <f>IF(OR(F91="",IFERROR(INDEX(Matches_2!$G:$G,MATCH(C91,Matches_2!$A:$A,0)),"")=""),0,IF(ISNUMBER(SEARCH(F91,IFERROR(INDEX(Matches_2!$G:$G,MATCH(C91,Matches_2!$A:$A,0)),""))),Scoring_Constants!$B$7,0))</f>
        <v/>
      </c>
      <c r="K91">
        <f>IF(OR(G91="",IFERROR(INDEX(Matches_2!$G:$G,MATCH(C91,Matches_2!$A:$A,0)),"")=""),0,IF(AND(ISNUMBER(SEARCH(G91,IFERROR(INDEX(Matches_2!$G:$G,MATCH(C91,Matches_2!$A:$A,0)),""))),G91&lt;&gt;F91),Scoring_Constants!$B$7,0))</f>
        <v/>
      </c>
      <c r="L91">
        <f>IF(OR(H91="",IFERROR(INDEX(Matches_2!$H:$H,MATCH(C91,Matches_2!$A:$A,0)),"")=""),0,IF(H91=IFERROR(INDEX(Matches_2!$H:$H,MATCH(C91,Matches_2!$A:$A,0)),""),Scoring_Constants!$B$8,0))</f>
        <v/>
      </c>
      <c r="M91">
        <f>SUM(I91:L91)</f>
        <v/>
      </c>
      <c r="O91" t="b">
        <v>0</v>
      </c>
    </row>
    <row r="92">
      <c r="A92" t="inlineStr">
        <is>
          <t>M003</t>
        </is>
      </c>
      <c r="B92">
        <f>IFERROR(INDEX(Managers!$B:$B,MATCH(A92,Managers!$A:$A,0)),"")</f>
        <v/>
      </c>
      <c r="C92" t="inlineStr">
        <is>
          <t>SF_01</t>
        </is>
      </c>
      <c r="D92">
        <f>IFERROR(INDEX(Matches_2!$B:$B,MATCH(C92,Matches_2!$A:$A,0)),"")</f>
        <v/>
      </c>
      <c r="I92">
        <f>IF(OR(E92="",IFERROR(INDEX(Matches_2!$F:$F,MATCH(C92,Matches_2!$A:$A,0)),"")=""),0,IF(E92=IFERROR(INDEX(Matches_2!$F:$F,MATCH(C92,Matches_2!$A:$A,0)),""),Scoring_Constants!$B$6,0))</f>
        <v/>
      </c>
      <c r="J92">
        <f>IF(OR(F92="",IFERROR(INDEX(Matches_2!$G:$G,MATCH(C92,Matches_2!$A:$A,0)),"")=""),0,IF(ISNUMBER(SEARCH(F92,IFERROR(INDEX(Matches_2!$G:$G,MATCH(C92,Matches_2!$A:$A,0)),""))),Scoring_Constants!$B$7,0))</f>
        <v/>
      </c>
      <c r="K92">
        <f>IF(OR(G92="",IFERROR(INDEX(Matches_2!$G:$G,MATCH(C92,Matches_2!$A:$A,0)),"")=""),0,IF(AND(ISNUMBER(SEARCH(G92,IFERROR(INDEX(Matches_2!$G:$G,MATCH(C92,Matches_2!$A:$A,0)),""))),G92&lt;&gt;F92),Scoring_Constants!$B$7,0))</f>
        <v/>
      </c>
      <c r="L92">
        <f>IF(OR(H92="",IFERROR(INDEX(Matches_2!$H:$H,MATCH(C92,Matches_2!$A:$A,0)),"")=""),0,IF(H92=IFERROR(INDEX(Matches_2!$H:$H,MATCH(C92,Matches_2!$A:$A,0)),""),Scoring_Constants!$B$8,0))</f>
        <v/>
      </c>
      <c r="M92">
        <f>SUM(I92:L92)</f>
        <v/>
      </c>
      <c r="O92" t="b">
        <v>0</v>
      </c>
    </row>
    <row r="93">
      <c r="A93" t="inlineStr">
        <is>
          <t>M003</t>
        </is>
      </c>
      <c r="B93">
        <f>IFERROR(INDEX(Managers!$B:$B,MATCH(A93,Managers!$A:$A,0)),"")</f>
        <v/>
      </c>
      <c r="C93" t="inlineStr">
        <is>
          <t>SF_02</t>
        </is>
      </c>
      <c r="D93">
        <f>IFERROR(INDEX(Matches_2!$B:$B,MATCH(C93,Matches_2!$A:$A,0)),"")</f>
        <v/>
      </c>
      <c r="I93">
        <f>IF(OR(E93="",IFERROR(INDEX(Matches_2!$F:$F,MATCH(C93,Matches_2!$A:$A,0)),"")=""),0,IF(E93=IFERROR(INDEX(Matches_2!$F:$F,MATCH(C93,Matches_2!$A:$A,0)),""),Scoring_Constants!$B$6,0))</f>
        <v/>
      </c>
      <c r="J93">
        <f>IF(OR(F93="",IFERROR(INDEX(Matches_2!$G:$G,MATCH(C93,Matches_2!$A:$A,0)),"")=""),0,IF(ISNUMBER(SEARCH(F93,IFERROR(INDEX(Matches_2!$G:$G,MATCH(C93,Matches_2!$A:$A,0)),""))),Scoring_Constants!$B$7,0))</f>
        <v/>
      </c>
      <c r="K93">
        <f>IF(OR(G93="",IFERROR(INDEX(Matches_2!$G:$G,MATCH(C93,Matches_2!$A:$A,0)),"")=""),0,IF(AND(ISNUMBER(SEARCH(G93,IFERROR(INDEX(Matches_2!$G:$G,MATCH(C93,Matches_2!$A:$A,0)),""))),G93&lt;&gt;F93),Scoring_Constants!$B$7,0))</f>
        <v/>
      </c>
      <c r="L93">
        <f>IF(OR(H93="",IFERROR(INDEX(Matches_2!$H:$H,MATCH(C93,Matches_2!$A:$A,0)),"")=""),0,IF(H93=IFERROR(INDEX(Matches_2!$H:$H,MATCH(C93,Matches_2!$A:$A,0)),""),Scoring_Constants!$B$8,0))</f>
        <v/>
      </c>
      <c r="M93">
        <f>SUM(I93:L93)</f>
        <v/>
      </c>
      <c r="O93" t="b">
        <v>0</v>
      </c>
    </row>
    <row r="94">
      <c r="A94" t="inlineStr">
        <is>
          <t>M003</t>
        </is>
      </c>
      <c r="B94">
        <f>IFERROR(INDEX(Managers!$B:$B,MATCH(A94,Managers!$A:$A,0)),"")</f>
        <v/>
      </c>
      <c r="C94" t="inlineStr">
        <is>
          <t>F_01</t>
        </is>
      </c>
      <c r="D94">
        <f>IFERROR(INDEX(Matches_2!$B:$B,MATCH(C94,Matches_2!$A:$A,0)),"")</f>
        <v/>
      </c>
      <c r="I94">
        <f>IF(OR(E94="",IFERROR(INDEX(Matches_2!$F:$F,MATCH(C94,Matches_2!$A:$A,0)),"")=""),0,IF(E94=IFERROR(INDEX(Matches_2!$F:$F,MATCH(C94,Matches_2!$A:$A,0)),""),Scoring_Constants!$B$6,0))</f>
        <v/>
      </c>
      <c r="J94">
        <f>IF(OR(F94="",IFERROR(INDEX(Matches_2!$G:$G,MATCH(C94,Matches_2!$A:$A,0)),"")=""),0,IF(ISNUMBER(SEARCH(F94,IFERROR(INDEX(Matches_2!$G:$G,MATCH(C94,Matches_2!$A:$A,0)),""))),Scoring_Constants!$B$7,0))</f>
        <v/>
      </c>
      <c r="K94">
        <f>IF(OR(G94="",IFERROR(INDEX(Matches_2!$G:$G,MATCH(C94,Matches_2!$A:$A,0)),"")=""),0,IF(AND(ISNUMBER(SEARCH(G94,IFERROR(INDEX(Matches_2!$G:$G,MATCH(C94,Matches_2!$A:$A,0)),""))),G94&lt;&gt;F94),Scoring_Constants!$B$7,0))</f>
        <v/>
      </c>
      <c r="L94">
        <f>IF(OR(H94="",IFERROR(INDEX(Matches_2!$H:$H,MATCH(C94,Matches_2!$A:$A,0)),"")=""),0,IF(H94=IFERROR(INDEX(Matches_2!$H:$H,MATCH(C94,Matches_2!$A:$A,0)),""),Scoring_Constants!$B$8,0))</f>
        <v/>
      </c>
      <c r="M94">
        <f>SUM(I94:L94)</f>
        <v/>
      </c>
      <c r="O94" t="b">
        <v>0</v>
      </c>
    </row>
    <row r="95">
      <c r="A95" t="inlineStr">
        <is>
          <t>M004</t>
        </is>
      </c>
      <c r="B95">
        <f>IFERROR(INDEX(Managers!$B:$B,MATCH(A95,Managers!$A:$A,0)),"")</f>
        <v/>
      </c>
      <c r="C95" t="inlineStr">
        <is>
          <t>R32_01</t>
        </is>
      </c>
      <c r="D95">
        <f>IFERROR(INDEX(Matches_2!$B:$B,MATCH(C95,Matches_2!$A:$A,0)),"")</f>
        <v/>
      </c>
      <c r="I95">
        <f>IF(OR(E95="",IFERROR(INDEX(Matches_2!$F:$F,MATCH(C95,Matches_2!$A:$A,0)),"")=""),0,IF(E95=IFERROR(INDEX(Matches_2!$F:$F,MATCH(C95,Matches_2!$A:$A,0)),""),Scoring_Constants!$B$6,0))</f>
        <v/>
      </c>
      <c r="J95">
        <f>IF(OR(F95="",IFERROR(INDEX(Matches_2!$G:$G,MATCH(C95,Matches_2!$A:$A,0)),"")=""),0,IF(ISNUMBER(SEARCH(F95,IFERROR(INDEX(Matches_2!$G:$G,MATCH(C95,Matches_2!$A:$A,0)),""))),Scoring_Constants!$B$7,0))</f>
        <v/>
      </c>
      <c r="K95">
        <f>IF(OR(G95="",IFERROR(INDEX(Matches_2!$G:$G,MATCH(C95,Matches_2!$A:$A,0)),"")=""),0,IF(AND(ISNUMBER(SEARCH(G95,IFERROR(INDEX(Matches_2!$G:$G,MATCH(C95,Matches_2!$A:$A,0)),""))),G95&lt;&gt;F95),Scoring_Constants!$B$7,0))</f>
        <v/>
      </c>
      <c r="L95">
        <f>IF(OR(H95="",IFERROR(INDEX(Matches_2!$H:$H,MATCH(C95,Matches_2!$A:$A,0)),"")=""),0,IF(H95=IFERROR(INDEX(Matches_2!$H:$H,MATCH(C95,Matches_2!$A:$A,0)),""),Scoring_Constants!$B$8,0))</f>
        <v/>
      </c>
      <c r="M95">
        <f>SUM(I95:L95)</f>
        <v/>
      </c>
      <c r="O95" t="b">
        <v>0</v>
      </c>
    </row>
    <row r="96">
      <c r="A96" t="inlineStr">
        <is>
          <t>M004</t>
        </is>
      </c>
      <c r="B96">
        <f>IFERROR(INDEX(Managers!$B:$B,MATCH(A96,Managers!$A:$A,0)),"")</f>
        <v/>
      </c>
      <c r="C96" t="inlineStr">
        <is>
          <t>R32_02</t>
        </is>
      </c>
      <c r="D96">
        <f>IFERROR(INDEX(Matches_2!$B:$B,MATCH(C96,Matches_2!$A:$A,0)),"")</f>
        <v/>
      </c>
      <c r="I96">
        <f>IF(OR(E96="",IFERROR(INDEX(Matches_2!$F:$F,MATCH(C96,Matches_2!$A:$A,0)),"")=""),0,IF(E96=IFERROR(INDEX(Matches_2!$F:$F,MATCH(C96,Matches_2!$A:$A,0)),""),Scoring_Constants!$B$6,0))</f>
        <v/>
      </c>
      <c r="J96">
        <f>IF(OR(F96="",IFERROR(INDEX(Matches_2!$G:$G,MATCH(C96,Matches_2!$A:$A,0)),"")=""),0,IF(ISNUMBER(SEARCH(F96,IFERROR(INDEX(Matches_2!$G:$G,MATCH(C96,Matches_2!$A:$A,0)),""))),Scoring_Constants!$B$7,0))</f>
        <v/>
      </c>
      <c r="K96">
        <f>IF(OR(G96="",IFERROR(INDEX(Matches_2!$G:$G,MATCH(C96,Matches_2!$A:$A,0)),"")=""),0,IF(AND(ISNUMBER(SEARCH(G96,IFERROR(INDEX(Matches_2!$G:$G,MATCH(C96,Matches_2!$A:$A,0)),""))),G96&lt;&gt;F96),Scoring_Constants!$B$7,0))</f>
        <v/>
      </c>
      <c r="L96">
        <f>IF(OR(H96="",IFERROR(INDEX(Matches_2!$H:$H,MATCH(C96,Matches_2!$A:$A,0)),"")=""),0,IF(H96=IFERROR(INDEX(Matches_2!$H:$H,MATCH(C96,Matches_2!$A:$A,0)),""),Scoring_Constants!$B$8,0))</f>
        <v/>
      </c>
      <c r="M96">
        <f>SUM(I96:L96)</f>
        <v/>
      </c>
      <c r="O96" t="b">
        <v>0</v>
      </c>
    </row>
    <row r="97">
      <c r="A97" t="inlineStr">
        <is>
          <t>M004</t>
        </is>
      </c>
      <c r="B97">
        <f>IFERROR(INDEX(Managers!$B:$B,MATCH(A97,Managers!$A:$A,0)),"")</f>
        <v/>
      </c>
      <c r="C97" t="inlineStr">
        <is>
          <t>R32_03</t>
        </is>
      </c>
      <c r="D97">
        <f>IFERROR(INDEX(Matches_2!$B:$B,MATCH(C97,Matches_2!$A:$A,0)),"")</f>
        <v/>
      </c>
      <c r="I97">
        <f>IF(OR(E97="",IFERROR(INDEX(Matches_2!$F:$F,MATCH(C97,Matches_2!$A:$A,0)),"")=""),0,IF(E97=IFERROR(INDEX(Matches_2!$F:$F,MATCH(C97,Matches_2!$A:$A,0)),""),Scoring_Constants!$B$6,0))</f>
        <v/>
      </c>
      <c r="J97">
        <f>IF(OR(F97="",IFERROR(INDEX(Matches_2!$G:$G,MATCH(C97,Matches_2!$A:$A,0)),"")=""),0,IF(ISNUMBER(SEARCH(F97,IFERROR(INDEX(Matches_2!$G:$G,MATCH(C97,Matches_2!$A:$A,0)),""))),Scoring_Constants!$B$7,0))</f>
        <v/>
      </c>
      <c r="K97">
        <f>IF(OR(G97="",IFERROR(INDEX(Matches_2!$G:$G,MATCH(C97,Matches_2!$A:$A,0)),"")=""),0,IF(AND(ISNUMBER(SEARCH(G97,IFERROR(INDEX(Matches_2!$G:$G,MATCH(C97,Matches_2!$A:$A,0)),""))),G97&lt;&gt;F97),Scoring_Constants!$B$7,0))</f>
        <v/>
      </c>
      <c r="L97">
        <f>IF(OR(H97="",IFERROR(INDEX(Matches_2!$H:$H,MATCH(C97,Matches_2!$A:$A,0)),"")=""),0,IF(H97=IFERROR(INDEX(Matches_2!$H:$H,MATCH(C97,Matches_2!$A:$A,0)),""),Scoring_Constants!$B$8,0))</f>
        <v/>
      </c>
      <c r="M97">
        <f>SUM(I97:L97)</f>
        <v/>
      </c>
      <c r="O97" t="b">
        <v>0</v>
      </c>
    </row>
    <row r="98">
      <c r="A98" t="inlineStr">
        <is>
          <t>M004</t>
        </is>
      </c>
      <c r="B98">
        <f>IFERROR(INDEX(Managers!$B:$B,MATCH(A98,Managers!$A:$A,0)),"")</f>
        <v/>
      </c>
      <c r="C98" t="inlineStr">
        <is>
          <t>R32_04</t>
        </is>
      </c>
      <c r="D98">
        <f>IFERROR(INDEX(Matches_2!$B:$B,MATCH(C98,Matches_2!$A:$A,0)),"")</f>
        <v/>
      </c>
      <c r="I98">
        <f>IF(OR(E98="",IFERROR(INDEX(Matches_2!$F:$F,MATCH(C98,Matches_2!$A:$A,0)),"")=""),0,IF(E98=IFERROR(INDEX(Matches_2!$F:$F,MATCH(C98,Matches_2!$A:$A,0)),""),Scoring_Constants!$B$6,0))</f>
        <v/>
      </c>
      <c r="J98">
        <f>IF(OR(F98="",IFERROR(INDEX(Matches_2!$G:$G,MATCH(C98,Matches_2!$A:$A,0)),"")=""),0,IF(ISNUMBER(SEARCH(F98,IFERROR(INDEX(Matches_2!$G:$G,MATCH(C98,Matches_2!$A:$A,0)),""))),Scoring_Constants!$B$7,0))</f>
        <v/>
      </c>
      <c r="K98">
        <f>IF(OR(G98="",IFERROR(INDEX(Matches_2!$G:$G,MATCH(C98,Matches_2!$A:$A,0)),"")=""),0,IF(AND(ISNUMBER(SEARCH(G98,IFERROR(INDEX(Matches_2!$G:$G,MATCH(C98,Matches_2!$A:$A,0)),""))),G98&lt;&gt;F98),Scoring_Constants!$B$7,0))</f>
        <v/>
      </c>
      <c r="L98">
        <f>IF(OR(H98="",IFERROR(INDEX(Matches_2!$H:$H,MATCH(C98,Matches_2!$A:$A,0)),"")=""),0,IF(H98=IFERROR(INDEX(Matches_2!$H:$H,MATCH(C98,Matches_2!$A:$A,0)),""),Scoring_Constants!$B$8,0))</f>
        <v/>
      </c>
      <c r="M98">
        <f>SUM(I98:L98)</f>
        <v/>
      </c>
      <c r="O98" t="b">
        <v>0</v>
      </c>
    </row>
    <row r="99">
      <c r="A99" t="inlineStr">
        <is>
          <t>M004</t>
        </is>
      </c>
      <c r="B99">
        <f>IFERROR(INDEX(Managers!$B:$B,MATCH(A99,Managers!$A:$A,0)),"")</f>
        <v/>
      </c>
      <c r="C99" t="inlineStr">
        <is>
          <t>R32_05</t>
        </is>
      </c>
      <c r="D99">
        <f>IFERROR(INDEX(Matches_2!$B:$B,MATCH(C99,Matches_2!$A:$A,0)),"")</f>
        <v/>
      </c>
      <c r="I99">
        <f>IF(OR(E99="",IFERROR(INDEX(Matches_2!$F:$F,MATCH(C99,Matches_2!$A:$A,0)),"")=""),0,IF(E99=IFERROR(INDEX(Matches_2!$F:$F,MATCH(C99,Matches_2!$A:$A,0)),""),Scoring_Constants!$B$6,0))</f>
        <v/>
      </c>
      <c r="J99">
        <f>IF(OR(F99="",IFERROR(INDEX(Matches_2!$G:$G,MATCH(C99,Matches_2!$A:$A,0)),"")=""),0,IF(ISNUMBER(SEARCH(F99,IFERROR(INDEX(Matches_2!$G:$G,MATCH(C99,Matches_2!$A:$A,0)),""))),Scoring_Constants!$B$7,0))</f>
        <v/>
      </c>
      <c r="K99">
        <f>IF(OR(G99="",IFERROR(INDEX(Matches_2!$G:$G,MATCH(C99,Matches_2!$A:$A,0)),"")=""),0,IF(AND(ISNUMBER(SEARCH(G99,IFERROR(INDEX(Matches_2!$G:$G,MATCH(C99,Matches_2!$A:$A,0)),""))),G99&lt;&gt;F99),Scoring_Constants!$B$7,0))</f>
        <v/>
      </c>
      <c r="L99">
        <f>IF(OR(H99="",IFERROR(INDEX(Matches_2!$H:$H,MATCH(C99,Matches_2!$A:$A,0)),"")=""),0,IF(H99=IFERROR(INDEX(Matches_2!$H:$H,MATCH(C99,Matches_2!$A:$A,0)),""),Scoring_Constants!$B$8,0))</f>
        <v/>
      </c>
      <c r="M99">
        <f>SUM(I99:L99)</f>
        <v/>
      </c>
      <c r="O99" t="b">
        <v>0</v>
      </c>
    </row>
    <row r="100">
      <c r="A100" t="inlineStr">
        <is>
          <t>M004</t>
        </is>
      </c>
      <c r="B100">
        <f>IFERROR(INDEX(Managers!$B:$B,MATCH(A100,Managers!$A:$A,0)),"")</f>
        <v/>
      </c>
      <c r="C100" t="inlineStr">
        <is>
          <t>R32_06</t>
        </is>
      </c>
      <c r="D100">
        <f>IFERROR(INDEX(Matches_2!$B:$B,MATCH(C100,Matches_2!$A:$A,0)),"")</f>
        <v/>
      </c>
      <c r="I100">
        <f>IF(OR(E100="",IFERROR(INDEX(Matches_2!$F:$F,MATCH(C100,Matches_2!$A:$A,0)),"")=""),0,IF(E100=IFERROR(INDEX(Matches_2!$F:$F,MATCH(C100,Matches_2!$A:$A,0)),""),Scoring_Constants!$B$6,0))</f>
        <v/>
      </c>
      <c r="J100">
        <f>IF(OR(F100="",IFERROR(INDEX(Matches_2!$G:$G,MATCH(C100,Matches_2!$A:$A,0)),"")=""),0,IF(ISNUMBER(SEARCH(F100,IFERROR(INDEX(Matches_2!$G:$G,MATCH(C100,Matches_2!$A:$A,0)),""))),Scoring_Constants!$B$7,0))</f>
        <v/>
      </c>
      <c r="K100">
        <f>IF(OR(G100="",IFERROR(INDEX(Matches_2!$G:$G,MATCH(C100,Matches_2!$A:$A,0)),"")=""),0,IF(AND(ISNUMBER(SEARCH(G100,IFERROR(INDEX(Matches_2!$G:$G,MATCH(C100,Matches_2!$A:$A,0)),""))),G100&lt;&gt;F100),Scoring_Constants!$B$7,0))</f>
        <v/>
      </c>
      <c r="L100">
        <f>IF(OR(H100="",IFERROR(INDEX(Matches_2!$H:$H,MATCH(C100,Matches_2!$A:$A,0)),"")=""),0,IF(H100=IFERROR(INDEX(Matches_2!$H:$H,MATCH(C100,Matches_2!$A:$A,0)),""),Scoring_Constants!$B$8,0))</f>
        <v/>
      </c>
      <c r="M100">
        <f>SUM(I100:L100)</f>
        <v/>
      </c>
      <c r="O100" t="b">
        <v>0</v>
      </c>
    </row>
    <row r="101">
      <c r="A101" t="inlineStr">
        <is>
          <t>M004</t>
        </is>
      </c>
      <c r="B101">
        <f>IFERROR(INDEX(Managers!$B:$B,MATCH(A101,Managers!$A:$A,0)),"")</f>
        <v/>
      </c>
      <c r="C101" t="inlineStr">
        <is>
          <t>R32_07</t>
        </is>
      </c>
      <c r="D101">
        <f>IFERROR(INDEX(Matches_2!$B:$B,MATCH(C101,Matches_2!$A:$A,0)),"")</f>
        <v/>
      </c>
      <c r="I101">
        <f>IF(OR(E101="",IFERROR(INDEX(Matches_2!$F:$F,MATCH(C101,Matches_2!$A:$A,0)),"")=""),0,IF(E101=IFERROR(INDEX(Matches_2!$F:$F,MATCH(C101,Matches_2!$A:$A,0)),""),Scoring_Constants!$B$6,0))</f>
        <v/>
      </c>
      <c r="J101">
        <f>IF(OR(F101="",IFERROR(INDEX(Matches_2!$G:$G,MATCH(C101,Matches_2!$A:$A,0)),"")=""),0,IF(ISNUMBER(SEARCH(F101,IFERROR(INDEX(Matches_2!$G:$G,MATCH(C101,Matches_2!$A:$A,0)),""))),Scoring_Constants!$B$7,0))</f>
        <v/>
      </c>
      <c r="K101">
        <f>IF(OR(G101="",IFERROR(INDEX(Matches_2!$G:$G,MATCH(C101,Matches_2!$A:$A,0)),"")=""),0,IF(AND(ISNUMBER(SEARCH(G101,IFERROR(INDEX(Matches_2!$G:$G,MATCH(C101,Matches_2!$A:$A,0)),""))),G101&lt;&gt;F101),Scoring_Constants!$B$7,0))</f>
        <v/>
      </c>
      <c r="L101">
        <f>IF(OR(H101="",IFERROR(INDEX(Matches_2!$H:$H,MATCH(C101,Matches_2!$A:$A,0)),"")=""),0,IF(H101=IFERROR(INDEX(Matches_2!$H:$H,MATCH(C101,Matches_2!$A:$A,0)),""),Scoring_Constants!$B$8,0))</f>
        <v/>
      </c>
      <c r="M101">
        <f>SUM(I101:L101)</f>
        <v/>
      </c>
      <c r="O101" t="b">
        <v>0</v>
      </c>
    </row>
    <row r="102">
      <c r="A102" t="inlineStr">
        <is>
          <t>M004</t>
        </is>
      </c>
      <c r="B102">
        <f>IFERROR(INDEX(Managers!$B:$B,MATCH(A102,Managers!$A:$A,0)),"")</f>
        <v/>
      </c>
      <c r="C102" t="inlineStr">
        <is>
          <t>R32_08</t>
        </is>
      </c>
      <c r="D102">
        <f>IFERROR(INDEX(Matches_2!$B:$B,MATCH(C102,Matches_2!$A:$A,0)),"")</f>
        <v/>
      </c>
      <c r="I102">
        <f>IF(OR(E102="",IFERROR(INDEX(Matches_2!$F:$F,MATCH(C102,Matches_2!$A:$A,0)),"")=""),0,IF(E102=IFERROR(INDEX(Matches_2!$F:$F,MATCH(C102,Matches_2!$A:$A,0)),""),Scoring_Constants!$B$6,0))</f>
        <v/>
      </c>
      <c r="J102">
        <f>IF(OR(F102="",IFERROR(INDEX(Matches_2!$G:$G,MATCH(C102,Matches_2!$A:$A,0)),"")=""),0,IF(ISNUMBER(SEARCH(F102,IFERROR(INDEX(Matches_2!$G:$G,MATCH(C102,Matches_2!$A:$A,0)),""))),Scoring_Constants!$B$7,0))</f>
        <v/>
      </c>
      <c r="K102">
        <f>IF(OR(G102="",IFERROR(INDEX(Matches_2!$G:$G,MATCH(C102,Matches_2!$A:$A,0)),"")=""),0,IF(AND(ISNUMBER(SEARCH(G102,IFERROR(INDEX(Matches_2!$G:$G,MATCH(C102,Matches_2!$A:$A,0)),""))),G102&lt;&gt;F102),Scoring_Constants!$B$7,0))</f>
        <v/>
      </c>
      <c r="L102">
        <f>IF(OR(H102="",IFERROR(INDEX(Matches_2!$H:$H,MATCH(C102,Matches_2!$A:$A,0)),"")=""),0,IF(H102=IFERROR(INDEX(Matches_2!$H:$H,MATCH(C102,Matches_2!$A:$A,0)),""),Scoring_Constants!$B$8,0))</f>
        <v/>
      </c>
      <c r="M102">
        <f>SUM(I102:L102)</f>
        <v/>
      </c>
      <c r="O102" t="b">
        <v>0</v>
      </c>
    </row>
    <row r="103">
      <c r="A103" t="inlineStr">
        <is>
          <t>M004</t>
        </is>
      </c>
      <c r="B103">
        <f>IFERROR(INDEX(Managers!$B:$B,MATCH(A103,Managers!$A:$A,0)),"")</f>
        <v/>
      </c>
      <c r="C103" t="inlineStr">
        <is>
          <t>R32_09</t>
        </is>
      </c>
      <c r="D103">
        <f>IFERROR(INDEX(Matches_2!$B:$B,MATCH(C103,Matches_2!$A:$A,0)),"")</f>
        <v/>
      </c>
      <c r="I103">
        <f>IF(OR(E103="",IFERROR(INDEX(Matches_2!$F:$F,MATCH(C103,Matches_2!$A:$A,0)),"")=""),0,IF(E103=IFERROR(INDEX(Matches_2!$F:$F,MATCH(C103,Matches_2!$A:$A,0)),""),Scoring_Constants!$B$6,0))</f>
        <v/>
      </c>
      <c r="J103">
        <f>IF(OR(F103="",IFERROR(INDEX(Matches_2!$G:$G,MATCH(C103,Matches_2!$A:$A,0)),"")=""),0,IF(ISNUMBER(SEARCH(F103,IFERROR(INDEX(Matches_2!$G:$G,MATCH(C103,Matches_2!$A:$A,0)),""))),Scoring_Constants!$B$7,0))</f>
        <v/>
      </c>
      <c r="K103">
        <f>IF(OR(G103="",IFERROR(INDEX(Matches_2!$G:$G,MATCH(C103,Matches_2!$A:$A,0)),"")=""),0,IF(AND(ISNUMBER(SEARCH(G103,IFERROR(INDEX(Matches_2!$G:$G,MATCH(C103,Matches_2!$A:$A,0)),""))),G103&lt;&gt;F103),Scoring_Constants!$B$7,0))</f>
        <v/>
      </c>
      <c r="L103">
        <f>IF(OR(H103="",IFERROR(INDEX(Matches_2!$H:$H,MATCH(C103,Matches_2!$A:$A,0)),"")=""),0,IF(H103=IFERROR(INDEX(Matches_2!$H:$H,MATCH(C103,Matches_2!$A:$A,0)),""),Scoring_Constants!$B$8,0))</f>
        <v/>
      </c>
      <c r="M103">
        <f>SUM(I103:L103)</f>
        <v/>
      </c>
      <c r="O103" t="b">
        <v>0</v>
      </c>
    </row>
    <row r="104">
      <c r="A104" t="inlineStr">
        <is>
          <t>M004</t>
        </is>
      </c>
      <c r="B104">
        <f>IFERROR(INDEX(Managers!$B:$B,MATCH(A104,Managers!$A:$A,0)),"")</f>
        <v/>
      </c>
      <c r="C104" t="inlineStr">
        <is>
          <t>R32_10</t>
        </is>
      </c>
      <c r="D104">
        <f>IFERROR(INDEX(Matches_2!$B:$B,MATCH(C104,Matches_2!$A:$A,0)),"")</f>
        <v/>
      </c>
      <c r="I104">
        <f>IF(OR(E104="",IFERROR(INDEX(Matches_2!$F:$F,MATCH(C104,Matches_2!$A:$A,0)),"")=""),0,IF(E104=IFERROR(INDEX(Matches_2!$F:$F,MATCH(C104,Matches_2!$A:$A,0)),""),Scoring_Constants!$B$6,0))</f>
        <v/>
      </c>
      <c r="J104">
        <f>IF(OR(F104="",IFERROR(INDEX(Matches_2!$G:$G,MATCH(C104,Matches_2!$A:$A,0)),"")=""),0,IF(ISNUMBER(SEARCH(F104,IFERROR(INDEX(Matches_2!$G:$G,MATCH(C104,Matches_2!$A:$A,0)),""))),Scoring_Constants!$B$7,0))</f>
        <v/>
      </c>
      <c r="K104">
        <f>IF(OR(G104="",IFERROR(INDEX(Matches_2!$G:$G,MATCH(C104,Matches_2!$A:$A,0)),"")=""),0,IF(AND(ISNUMBER(SEARCH(G104,IFERROR(INDEX(Matches_2!$G:$G,MATCH(C104,Matches_2!$A:$A,0)),""))),G104&lt;&gt;F104),Scoring_Constants!$B$7,0))</f>
        <v/>
      </c>
      <c r="L104">
        <f>IF(OR(H104="",IFERROR(INDEX(Matches_2!$H:$H,MATCH(C104,Matches_2!$A:$A,0)),"")=""),0,IF(H104=IFERROR(INDEX(Matches_2!$H:$H,MATCH(C104,Matches_2!$A:$A,0)),""),Scoring_Constants!$B$8,0))</f>
        <v/>
      </c>
      <c r="M104">
        <f>SUM(I104:L104)</f>
        <v/>
      </c>
      <c r="O104" t="b">
        <v>0</v>
      </c>
    </row>
    <row r="105">
      <c r="A105" t="inlineStr">
        <is>
          <t>M004</t>
        </is>
      </c>
      <c r="B105">
        <f>IFERROR(INDEX(Managers!$B:$B,MATCH(A105,Managers!$A:$A,0)),"")</f>
        <v/>
      </c>
      <c r="C105" t="inlineStr">
        <is>
          <t>R32_11</t>
        </is>
      </c>
      <c r="D105">
        <f>IFERROR(INDEX(Matches_2!$B:$B,MATCH(C105,Matches_2!$A:$A,0)),"")</f>
        <v/>
      </c>
      <c r="I105">
        <f>IF(OR(E105="",IFERROR(INDEX(Matches_2!$F:$F,MATCH(C105,Matches_2!$A:$A,0)),"")=""),0,IF(E105=IFERROR(INDEX(Matches_2!$F:$F,MATCH(C105,Matches_2!$A:$A,0)),""),Scoring_Constants!$B$6,0))</f>
        <v/>
      </c>
      <c r="J105">
        <f>IF(OR(F105="",IFERROR(INDEX(Matches_2!$G:$G,MATCH(C105,Matches_2!$A:$A,0)),"")=""),0,IF(ISNUMBER(SEARCH(F105,IFERROR(INDEX(Matches_2!$G:$G,MATCH(C105,Matches_2!$A:$A,0)),""))),Scoring_Constants!$B$7,0))</f>
        <v/>
      </c>
      <c r="K105">
        <f>IF(OR(G105="",IFERROR(INDEX(Matches_2!$G:$G,MATCH(C105,Matches_2!$A:$A,0)),"")=""),0,IF(AND(ISNUMBER(SEARCH(G105,IFERROR(INDEX(Matches_2!$G:$G,MATCH(C105,Matches_2!$A:$A,0)),""))),G105&lt;&gt;F105),Scoring_Constants!$B$7,0))</f>
        <v/>
      </c>
      <c r="L105">
        <f>IF(OR(H105="",IFERROR(INDEX(Matches_2!$H:$H,MATCH(C105,Matches_2!$A:$A,0)),"")=""),0,IF(H105=IFERROR(INDEX(Matches_2!$H:$H,MATCH(C105,Matches_2!$A:$A,0)),""),Scoring_Constants!$B$8,0))</f>
        <v/>
      </c>
      <c r="M105">
        <f>SUM(I105:L105)</f>
        <v/>
      </c>
      <c r="O105" t="b">
        <v>0</v>
      </c>
    </row>
    <row r="106">
      <c r="A106" t="inlineStr">
        <is>
          <t>M004</t>
        </is>
      </c>
      <c r="B106">
        <f>IFERROR(INDEX(Managers!$B:$B,MATCH(A106,Managers!$A:$A,0)),"")</f>
        <v/>
      </c>
      <c r="C106" t="inlineStr">
        <is>
          <t>R32_12</t>
        </is>
      </c>
      <c r="D106">
        <f>IFERROR(INDEX(Matches_2!$B:$B,MATCH(C106,Matches_2!$A:$A,0)),"")</f>
        <v/>
      </c>
      <c r="I106">
        <f>IF(OR(E106="",IFERROR(INDEX(Matches_2!$F:$F,MATCH(C106,Matches_2!$A:$A,0)),"")=""),0,IF(E106=IFERROR(INDEX(Matches_2!$F:$F,MATCH(C106,Matches_2!$A:$A,0)),""),Scoring_Constants!$B$6,0))</f>
        <v/>
      </c>
      <c r="J106">
        <f>IF(OR(F106="",IFERROR(INDEX(Matches_2!$G:$G,MATCH(C106,Matches_2!$A:$A,0)),"")=""),0,IF(ISNUMBER(SEARCH(F106,IFERROR(INDEX(Matches_2!$G:$G,MATCH(C106,Matches_2!$A:$A,0)),""))),Scoring_Constants!$B$7,0))</f>
        <v/>
      </c>
      <c r="K106">
        <f>IF(OR(G106="",IFERROR(INDEX(Matches_2!$G:$G,MATCH(C106,Matches_2!$A:$A,0)),"")=""),0,IF(AND(ISNUMBER(SEARCH(G106,IFERROR(INDEX(Matches_2!$G:$G,MATCH(C106,Matches_2!$A:$A,0)),""))),G106&lt;&gt;F106),Scoring_Constants!$B$7,0))</f>
        <v/>
      </c>
      <c r="L106">
        <f>IF(OR(H106="",IFERROR(INDEX(Matches_2!$H:$H,MATCH(C106,Matches_2!$A:$A,0)),"")=""),0,IF(H106=IFERROR(INDEX(Matches_2!$H:$H,MATCH(C106,Matches_2!$A:$A,0)),""),Scoring_Constants!$B$8,0))</f>
        <v/>
      </c>
      <c r="M106">
        <f>SUM(I106:L106)</f>
        <v/>
      </c>
      <c r="O106" t="b">
        <v>0</v>
      </c>
    </row>
    <row r="107">
      <c r="A107" t="inlineStr">
        <is>
          <t>M004</t>
        </is>
      </c>
      <c r="B107">
        <f>IFERROR(INDEX(Managers!$B:$B,MATCH(A107,Managers!$A:$A,0)),"")</f>
        <v/>
      </c>
      <c r="C107" t="inlineStr">
        <is>
          <t>R32_13</t>
        </is>
      </c>
      <c r="D107">
        <f>IFERROR(INDEX(Matches_2!$B:$B,MATCH(C107,Matches_2!$A:$A,0)),"")</f>
        <v/>
      </c>
      <c r="I107">
        <f>IF(OR(E107="",IFERROR(INDEX(Matches_2!$F:$F,MATCH(C107,Matches_2!$A:$A,0)),"")=""),0,IF(E107=IFERROR(INDEX(Matches_2!$F:$F,MATCH(C107,Matches_2!$A:$A,0)),""),Scoring_Constants!$B$6,0))</f>
        <v/>
      </c>
      <c r="J107">
        <f>IF(OR(F107="",IFERROR(INDEX(Matches_2!$G:$G,MATCH(C107,Matches_2!$A:$A,0)),"")=""),0,IF(ISNUMBER(SEARCH(F107,IFERROR(INDEX(Matches_2!$G:$G,MATCH(C107,Matches_2!$A:$A,0)),""))),Scoring_Constants!$B$7,0))</f>
        <v/>
      </c>
      <c r="K107">
        <f>IF(OR(G107="",IFERROR(INDEX(Matches_2!$G:$G,MATCH(C107,Matches_2!$A:$A,0)),"")=""),0,IF(AND(ISNUMBER(SEARCH(G107,IFERROR(INDEX(Matches_2!$G:$G,MATCH(C107,Matches_2!$A:$A,0)),""))),G107&lt;&gt;F107),Scoring_Constants!$B$7,0))</f>
        <v/>
      </c>
      <c r="L107">
        <f>IF(OR(H107="",IFERROR(INDEX(Matches_2!$H:$H,MATCH(C107,Matches_2!$A:$A,0)),"")=""),0,IF(H107=IFERROR(INDEX(Matches_2!$H:$H,MATCH(C107,Matches_2!$A:$A,0)),""),Scoring_Constants!$B$8,0))</f>
        <v/>
      </c>
      <c r="M107">
        <f>SUM(I107:L107)</f>
        <v/>
      </c>
      <c r="O107" t="b">
        <v>0</v>
      </c>
    </row>
    <row r="108">
      <c r="A108" t="inlineStr">
        <is>
          <t>M004</t>
        </is>
      </c>
      <c r="B108">
        <f>IFERROR(INDEX(Managers!$B:$B,MATCH(A108,Managers!$A:$A,0)),"")</f>
        <v/>
      </c>
      <c r="C108" t="inlineStr">
        <is>
          <t>R32_14</t>
        </is>
      </c>
      <c r="D108">
        <f>IFERROR(INDEX(Matches_2!$B:$B,MATCH(C108,Matches_2!$A:$A,0)),"")</f>
        <v/>
      </c>
      <c r="I108">
        <f>IF(OR(E108="",IFERROR(INDEX(Matches_2!$F:$F,MATCH(C108,Matches_2!$A:$A,0)),"")=""),0,IF(E108=IFERROR(INDEX(Matches_2!$F:$F,MATCH(C108,Matches_2!$A:$A,0)),""),Scoring_Constants!$B$6,0))</f>
        <v/>
      </c>
      <c r="J108">
        <f>IF(OR(F108="",IFERROR(INDEX(Matches_2!$G:$G,MATCH(C108,Matches_2!$A:$A,0)),"")=""),0,IF(ISNUMBER(SEARCH(F108,IFERROR(INDEX(Matches_2!$G:$G,MATCH(C108,Matches_2!$A:$A,0)),""))),Scoring_Constants!$B$7,0))</f>
        <v/>
      </c>
      <c r="K108">
        <f>IF(OR(G108="",IFERROR(INDEX(Matches_2!$G:$G,MATCH(C108,Matches_2!$A:$A,0)),"")=""),0,IF(AND(ISNUMBER(SEARCH(G108,IFERROR(INDEX(Matches_2!$G:$G,MATCH(C108,Matches_2!$A:$A,0)),""))),G108&lt;&gt;F108),Scoring_Constants!$B$7,0))</f>
        <v/>
      </c>
      <c r="L108">
        <f>IF(OR(H108="",IFERROR(INDEX(Matches_2!$H:$H,MATCH(C108,Matches_2!$A:$A,0)),"")=""),0,IF(H108=IFERROR(INDEX(Matches_2!$H:$H,MATCH(C108,Matches_2!$A:$A,0)),""),Scoring_Constants!$B$8,0))</f>
        <v/>
      </c>
      <c r="M108">
        <f>SUM(I108:L108)</f>
        <v/>
      </c>
      <c r="O108" t="b">
        <v>0</v>
      </c>
    </row>
    <row r="109">
      <c r="A109" t="inlineStr">
        <is>
          <t>M004</t>
        </is>
      </c>
      <c r="B109">
        <f>IFERROR(INDEX(Managers!$B:$B,MATCH(A109,Managers!$A:$A,0)),"")</f>
        <v/>
      </c>
      <c r="C109" t="inlineStr">
        <is>
          <t>R32_15</t>
        </is>
      </c>
      <c r="D109">
        <f>IFERROR(INDEX(Matches_2!$B:$B,MATCH(C109,Matches_2!$A:$A,0)),"")</f>
        <v/>
      </c>
      <c r="I109">
        <f>IF(OR(E109="",IFERROR(INDEX(Matches_2!$F:$F,MATCH(C109,Matches_2!$A:$A,0)),"")=""),0,IF(E109=IFERROR(INDEX(Matches_2!$F:$F,MATCH(C109,Matches_2!$A:$A,0)),""),Scoring_Constants!$B$6,0))</f>
        <v/>
      </c>
      <c r="J109">
        <f>IF(OR(F109="",IFERROR(INDEX(Matches_2!$G:$G,MATCH(C109,Matches_2!$A:$A,0)),"")=""),0,IF(ISNUMBER(SEARCH(F109,IFERROR(INDEX(Matches_2!$G:$G,MATCH(C109,Matches_2!$A:$A,0)),""))),Scoring_Constants!$B$7,0))</f>
        <v/>
      </c>
      <c r="K109">
        <f>IF(OR(G109="",IFERROR(INDEX(Matches_2!$G:$G,MATCH(C109,Matches_2!$A:$A,0)),"")=""),0,IF(AND(ISNUMBER(SEARCH(G109,IFERROR(INDEX(Matches_2!$G:$G,MATCH(C109,Matches_2!$A:$A,0)),""))),G109&lt;&gt;F109),Scoring_Constants!$B$7,0))</f>
        <v/>
      </c>
      <c r="L109">
        <f>IF(OR(H109="",IFERROR(INDEX(Matches_2!$H:$H,MATCH(C109,Matches_2!$A:$A,0)),"")=""),0,IF(H109=IFERROR(INDEX(Matches_2!$H:$H,MATCH(C109,Matches_2!$A:$A,0)),""),Scoring_Constants!$B$8,0))</f>
        <v/>
      </c>
      <c r="M109">
        <f>SUM(I109:L109)</f>
        <v/>
      </c>
      <c r="O109" t="b">
        <v>0</v>
      </c>
    </row>
    <row r="110">
      <c r="A110" t="inlineStr">
        <is>
          <t>M004</t>
        </is>
      </c>
      <c r="B110">
        <f>IFERROR(INDEX(Managers!$B:$B,MATCH(A110,Managers!$A:$A,0)),"")</f>
        <v/>
      </c>
      <c r="C110" t="inlineStr">
        <is>
          <t>R32_16</t>
        </is>
      </c>
      <c r="D110">
        <f>IFERROR(INDEX(Matches_2!$B:$B,MATCH(C110,Matches_2!$A:$A,0)),"")</f>
        <v/>
      </c>
      <c r="I110">
        <f>IF(OR(E110="",IFERROR(INDEX(Matches_2!$F:$F,MATCH(C110,Matches_2!$A:$A,0)),"")=""),0,IF(E110=IFERROR(INDEX(Matches_2!$F:$F,MATCH(C110,Matches_2!$A:$A,0)),""),Scoring_Constants!$B$6,0))</f>
        <v/>
      </c>
      <c r="J110">
        <f>IF(OR(F110="",IFERROR(INDEX(Matches_2!$G:$G,MATCH(C110,Matches_2!$A:$A,0)),"")=""),0,IF(ISNUMBER(SEARCH(F110,IFERROR(INDEX(Matches_2!$G:$G,MATCH(C110,Matches_2!$A:$A,0)),""))),Scoring_Constants!$B$7,0))</f>
        <v/>
      </c>
      <c r="K110">
        <f>IF(OR(G110="",IFERROR(INDEX(Matches_2!$G:$G,MATCH(C110,Matches_2!$A:$A,0)),"")=""),0,IF(AND(ISNUMBER(SEARCH(G110,IFERROR(INDEX(Matches_2!$G:$G,MATCH(C110,Matches_2!$A:$A,0)),""))),G110&lt;&gt;F110),Scoring_Constants!$B$7,0))</f>
        <v/>
      </c>
      <c r="L110">
        <f>IF(OR(H110="",IFERROR(INDEX(Matches_2!$H:$H,MATCH(C110,Matches_2!$A:$A,0)),"")=""),0,IF(H110=IFERROR(INDEX(Matches_2!$H:$H,MATCH(C110,Matches_2!$A:$A,0)),""),Scoring_Constants!$B$8,0))</f>
        <v/>
      </c>
      <c r="M110">
        <f>SUM(I110:L110)</f>
        <v/>
      </c>
      <c r="O110" t="b">
        <v>0</v>
      </c>
    </row>
    <row r="111">
      <c r="A111" t="inlineStr">
        <is>
          <t>M004</t>
        </is>
      </c>
      <c r="B111">
        <f>IFERROR(INDEX(Managers!$B:$B,MATCH(A111,Managers!$A:$A,0)),"")</f>
        <v/>
      </c>
      <c r="C111" t="inlineStr">
        <is>
          <t>R16_01</t>
        </is>
      </c>
      <c r="D111">
        <f>IFERROR(INDEX(Matches_2!$B:$B,MATCH(C111,Matches_2!$A:$A,0)),"")</f>
        <v/>
      </c>
      <c r="I111">
        <f>IF(OR(E111="",IFERROR(INDEX(Matches_2!$F:$F,MATCH(C111,Matches_2!$A:$A,0)),"")=""),0,IF(E111=IFERROR(INDEX(Matches_2!$F:$F,MATCH(C111,Matches_2!$A:$A,0)),""),Scoring_Constants!$B$6,0))</f>
        <v/>
      </c>
      <c r="J111">
        <f>IF(OR(F111="",IFERROR(INDEX(Matches_2!$G:$G,MATCH(C111,Matches_2!$A:$A,0)),"")=""),0,IF(ISNUMBER(SEARCH(F111,IFERROR(INDEX(Matches_2!$G:$G,MATCH(C111,Matches_2!$A:$A,0)),""))),Scoring_Constants!$B$7,0))</f>
        <v/>
      </c>
      <c r="K111">
        <f>IF(OR(G111="",IFERROR(INDEX(Matches_2!$G:$G,MATCH(C111,Matches_2!$A:$A,0)),"")=""),0,IF(AND(ISNUMBER(SEARCH(G111,IFERROR(INDEX(Matches_2!$G:$G,MATCH(C111,Matches_2!$A:$A,0)),""))),G111&lt;&gt;F111),Scoring_Constants!$B$7,0))</f>
        <v/>
      </c>
      <c r="L111">
        <f>IF(OR(H111="",IFERROR(INDEX(Matches_2!$H:$H,MATCH(C111,Matches_2!$A:$A,0)),"")=""),0,IF(H111=IFERROR(INDEX(Matches_2!$H:$H,MATCH(C111,Matches_2!$A:$A,0)),""),Scoring_Constants!$B$8,0))</f>
        <v/>
      </c>
      <c r="M111">
        <f>SUM(I111:L111)</f>
        <v/>
      </c>
      <c r="O111" t="b">
        <v>0</v>
      </c>
    </row>
    <row r="112">
      <c r="A112" t="inlineStr">
        <is>
          <t>M004</t>
        </is>
      </c>
      <c r="B112">
        <f>IFERROR(INDEX(Managers!$B:$B,MATCH(A112,Managers!$A:$A,0)),"")</f>
        <v/>
      </c>
      <c r="C112" t="inlineStr">
        <is>
          <t>R16_02</t>
        </is>
      </c>
      <c r="D112">
        <f>IFERROR(INDEX(Matches_2!$B:$B,MATCH(C112,Matches_2!$A:$A,0)),"")</f>
        <v/>
      </c>
      <c r="I112">
        <f>IF(OR(E112="",IFERROR(INDEX(Matches_2!$F:$F,MATCH(C112,Matches_2!$A:$A,0)),"")=""),0,IF(E112=IFERROR(INDEX(Matches_2!$F:$F,MATCH(C112,Matches_2!$A:$A,0)),""),Scoring_Constants!$B$6,0))</f>
        <v/>
      </c>
      <c r="J112">
        <f>IF(OR(F112="",IFERROR(INDEX(Matches_2!$G:$G,MATCH(C112,Matches_2!$A:$A,0)),"")=""),0,IF(ISNUMBER(SEARCH(F112,IFERROR(INDEX(Matches_2!$G:$G,MATCH(C112,Matches_2!$A:$A,0)),""))),Scoring_Constants!$B$7,0))</f>
        <v/>
      </c>
      <c r="K112">
        <f>IF(OR(G112="",IFERROR(INDEX(Matches_2!$G:$G,MATCH(C112,Matches_2!$A:$A,0)),"")=""),0,IF(AND(ISNUMBER(SEARCH(G112,IFERROR(INDEX(Matches_2!$G:$G,MATCH(C112,Matches_2!$A:$A,0)),""))),G112&lt;&gt;F112),Scoring_Constants!$B$7,0))</f>
        <v/>
      </c>
      <c r="L112">
        <f>IF(OR(H112="",IFERROR(INDEX(Matches_2!$H:$H,MATCH(C112,Matches_2!$A:$A,0)),"")=""),0,IF(H112=IFERROR(INDEX(Matches_2!$H:$H,MATCH(C112,Matches_2!$A:$A,0)),""),Scoring_Constants!$B$8,0))</f>
        <v/>
      </c>
      <c r="M112">
        <f>SUM(I112:L112)</f>
        <v/>
      </c>
      <c r="O112" t="b">
        <v>0</v>
      </c>
    </row>
    <row r="113">
      <c r="A113" t="inlineStr">
        <is>
          <t>M004</t>
        </is>
      </c>
      <c r="B113">
        <f>IFERROR(INDEX(Managers!$B:$B,MATCH(A113,Managers!$A:$A,0)),"")</f>
        <v/>
      </c>
      <c r="C113" t="inlineStr">
        <is>
          <t>R16_03</t>
        </is>
      </c>
      <c r="D113">
        <f>IFERROR(INDEX(Matches_2!$B:$B,MATCH(C113,Matches_2!$A:$A,0)),"")</f>
        <v/>
      </c>
      <c r="I113">
        <f>IF(OR(E113="",IFERROR(INDEX(Matches_2!$F:$F,MATCH(C113,Matches_2!$A:$A,0)),"")=""),0,IF(E113=IFERROR(INDEX(Matches_2!$F:$F,MATCH(C113,Matches_2!$A:$A,0)),""),Scoring_Constants!$B$6,0))</f>
        <v/>
      </c>
      <c r="J113">
        <f>IF(OR(F113="",IFERROR(INDEX(Matches_2!$G:$G,MATCH(C113,Matches_2!$A:$A,0)),"")=""),0,IF(ISNUMBER(SEARCH(F113,IFERROR(INDEX(Matches_2!$G:$G,MATCH(C113,Matches_2!$A:$A,0)),""))),Scoring_Constants!$B$7,0))</f>
        <v/>
      </c>
      <c r="K113">
        <f>IF(OR(G113="",IFERROR(INDEX(Matches_2!$G:$G,MATCH(C113,Matches_2!$A:$A,0)),"")=""),0,IF(AND(ISNUMBER(SEARCH(G113,IFERROR(INDEX(Matches_2!$G:$G,MATCH(C113,Matches_2!$A:$A,0)),""))),G113&lt;&gt;F113),Scoring_Constants!$B$7,0))</f>
        <v/>
      </c>
      <c r="L113">
        <f>IF(OR(H113="",IFERROR(INDEX(Matches_2!$H:$H,MATCH(C113,Matches_2!$A:$A,0)),"")=""),0,IF(H113=IFERROR(INDEX(Matches_2!$H:$H,MATCH(C113,Matches_2!$A:$A,0)),""),Scoring_Constants!$B$8,0))</f>
        <v/>
      </c>
      <c r="M113">
        <f>SUM(I113:L113)</f>
        <v/>
      </c>
      <c r="O113" t="b">
        <v>0</v>
      </c>
    </row>
    <row r="114">
      <c r="A114" t="inlineStr">
        <is>
          <t>M004</t>
        </is>
      </c>
      <c r="B114">
        <f>IFERROR(INDEX(Managers!$B:$B,MATCH(A114,Managers!$A:$A,0)),"")</f>
        <v/>
      </c>
      <c r="C114" t="inlineStr">
        <is>
          <t>R16_04</t>
        </is>
      </c>
      <c r="D114">
        <f>IFERROR(INDEX(Matches_2!$B:$B,MATCH(C114,Matches_2!$A:$A,0)),"")</f>
        <v/>
      </c>
      <c r="I114">
        <f>IF(OR(E114="",IFERROR(INDEX(Matches_2!$F:$F,MATCH(C114,Matches_2!$A:$A,0)),"")=""),0,IF(E114=IFERROR(INDEX(Matches_2!$F:$F,MATCH(C114,Matches_2!$A:$A,0)),""),Scoring_Constants!$B$6,0))</f>
        <v/>
      </c>
      <c r="J114">
        <f>IF(OR(F114="",IFERROR(INDEX(Matches_2!$G:$G,MATCH(C114,Matches_2!$A:$A,0)),"")=""),0,IF(ISNUMBER(SEARCH(F114,IFERROR(INDEX(Matches_2!$G:$G,MATCH(C114,Matches_2!$A:$A,0)),""))),Scoring_Constants!$B$7,0))</f>
        <v/>
      </c>
      <c r="K114">
        <f>IF(OR(G114="",IFERROR(INDEX(Matches_2!$G:$G,MATCH(C114,Matches_2!$A:$A,0)),"")=""),0,IF(AND(ISNUMBER(SEARCH(G114,IFERROR(INDEX(Matches_2!$G:$G,MATCH(C114,Matches_2!$A:$A,0)),""))),G114&lt;&gt;F114),Scoring_Constants!$B$7,0))</f>
        <v/>
      </c>
      <c r="L114">
        <f>IF(OR(H114="",IFERROR(INDEX(Matches_2!$H:$H,MATCH(C114,Matches_2!$A:$A,0)),"")=""),0,IF(H114=IFERROR(INDEX(Matches_2!$H:$H,MATCH(C114,Matches_2!$A:$A,0)),""),Scoring_Constants!$B$8,0))</f>
        <v/>
      </c>
      <c r="M114">
        <f>SUM(I114:L114)</f>
        <v/>
      </c>
      <c r="O114" t="b">
        <v>0</v>
      </c>
    </row>
    <row r="115">
      <c r="A115" t="inlineStr">
        <is>
          <t>M004</t>
        </is>
      </c>
      <c r="B115">
        <f>IFERROR(INDEX(Managers!$B:$B,MATCH(A115,Managers!$A:$A,0)),"")</f>
        <v/>
      </c>
      <c r="C115" t="inlineStr">
        <is>
          <t>R16_05</t>
        </is>
      </c>
      <c r="D115">
        <f>IFERROR(INDEX(Matches_2!$B:$B,MATCH(C115,Matches_2!$A:$A,0)),"")</f>
        <v/>
      </c>
      <c r="I115">
        <f>IF(OR(E115="",IFERROR(INDEX(Matches_2!$F:$F,MATCH(C115,Matches_2!$A:$A,0)),"")=""),0,IF(E115=IFERROR(INDEX(Matches_2!$F:$F,MATCH(C115,Matches_2!$A:$A,0)),""),Scoring_Constants!$B$6,0))</f>
        <v/>
      </c>
      <c r="J115">
        <f>IF(OR(F115="",IFERROR(INDEX(Matches_2!$G:$G,MATCH(C115,Matches_2!$A:$A,0)),"")=""),0,IF(ISNUMBER(SEARCH(F115,IFERROR(INDEX(Matches_2!$G:$G,MATCH(C115,Matches_2!$A:$A,0)),""))),Scoring_Constants!$B$7,0))</f>
        <v/>
      </c>
      <c r="K115">
        <f>IF(OR(G115="",IFERROR(INDEX(Matches_2!$G:$G,MATCH(C115,Matches_2!$A:$A,0)),"")=""),0,IF(AND(ISNUMBER(SEARCH(G115,IFERROR(INDEX(Matches_2!$G:$G,MATCH(C115,Matches_2!$A:$A,0)),""))),G115&lt;&gt;F115),Scoring_Constants!$B$7,0))</f>
        <v/>
      </c>
      <c r="L115">
        <f>IF(OR(H115="",IFERROR(INDEX(Matches_2!$H:$H,MATCH(C115,Matches_2!$A:$A,0)),"")=""),0,IF(H115=IFERROR(INDEX(Matches_2!$H:$H,MATCH(C115,Matches_2!$A:$A,0)),""),Scoring_Constants!$B$8,0))</f>
        <v/>
      </c>
      <c r="M115">
        <f>SUM(I115:L115)</f>
        <v/>
      </c>
      <c r="O115" t="b">
        <v>0</v>
      </c>
    </row>
    <row r="116">
      <c r="A116" t="inlineStr">
        <is>
          <t>M004</t>
        </is>
      </c>
      <c r="B116">
        <f>IFERROR(INDEX(Managers!$B:$B,MATCH(A116,Managers!$A:$A,0)),"")</f>
        <v/>
      </c>
      <c r="C116" t="inlineStr">
        <is>
          <t>R16_06</t>
        </is>
      </c>
      <c r="D116">
        <f>IFERROR(INDEX(Matches_2!$B:$B,MATCH(C116,Matches_2!$A:$A,0)),"")</f>
        <v/>
      </c>
      <c r="I116">
        <f>IF(OR(E116="",IFERROR(INDEX(Matches_2!$F:$F,MATCH(C116,Matches_2!$A:$A,0)),"")=""),0,IF(E116=IFERROR(INDEX(Matches_2!$F:$F,MATCH(C116,Matches_2!$A:$A,0)),""),Scoring_Constants!$B$6,0))</f>
        <v/>
      </c>
      <c r="J116">
        <f>IF(OR(F116="",IFERROR(INDEX(Matches_2!$G:$G,MATCH(C116,Matches_2!$A:$A,0)),"")=""),0,IF(ISNUMBER(SEARCH(F116,IFERROR(INDEX(Matches_2!$G:$G,MATCH(C116,Matches_2!$A:$A,0)),""))),Scoring_Constants!$B$7,0))</f>
        <v/>
      </c>
      <c r="K116">
        <f>IF(OR(G116="",IFERROR(INDEX(Matches_2!$G:$G,MATCH(C116,Matches_2!$A:$A,0)),"")=""),0,IF(AND(ISNUMBER(SEARCH(G116,IFERROR(INDEX(Matches_2!$G:$G,MATCH(C116,Matches_2!$A:$A,0)),""))),G116&lt;&gt;F116),Scoring_Constants!$B$7,0))</f>
        <v/>
      </c>
      <c r="L116">
        <f>IF(OR(H116="",IFERROR(INDEX(Matches_2!$H:$H,MATCH(C116,Matches_2!$A:$A,0)),"")=""),0,IF(H116=IFERROR(INDEX(Matches_2!$H:$H,MATCH(C116,Matches_2!$A:$A,0)),""),Scoring_Constants!$B$8,0))</f>
        <v/>
      </c>
      <c r="M116">
        <f>SUM(I116:L116)</f>
        <v/>
      </c>
      <c r="O116" t="b">
        <v>0</v>
      </c>
    </row>
    <row r="117">
      <c r="A117" t="inlineStr">
        <is>
          <t>M004</t>
        </is>
      </c>
      <c r="B117">
        <f>IFERROR(INDEX(Managers!$B:$B,MATCH(A117,Managers!$A:$A,0)),"")</f>
        <v/>
      </c>
      <c r="C117" t="inlineStr">
        <is>
          <t>R16_07</t>
        </is>
      </c>
      <c r="D117">
        <f>IFERROR(INDEX(Matches_2!$B:$B,MATCH(C117,Matches_2!$A:$A,0)),"")</f>
        <v/>
      </c>
      <c r="I117">
        <f>IF(OR(E117="",IFERROR(INDEX(Matches_2!$F:$F,MATCH(C117,Matches_2!$A:$A,0)),"")=""),0,IF(E117=IFERROR(INDEX(Matches_2!$F:$F,MATCH(C117,Matches_2!$A:$A,0)),""),Scoring_Constants!$B$6,0))</f>
        <v/>
      </c>
      <c r="J117">
        <f>IF(OR(F117="",IFERROR(INDEX(Matches_2!$G:$G,MATCH(C117,Matches_2!$A:$A,0)),"")=""),0,IF(ISNUMBER(SEARCH(F117,IFERROR(INDEX(Matches_2!$G:$G,MATCH(C117,Matches_2!$A:$A,0)),""))),Scoring_Constants!$B$7,0))</f>
        <v/>
      </c>
      <c r="K117">
        <f>IF(OR(G117="",IFERROR(INDEX(Matches_2!$G:$G,MATCH(C117,Matches_2!$A:$A,0)),"")=""),0,IF(AND(ISNUMBER(SEARCH(G117,IFERROR(INDEX(Matches_2!$G:$G,MATCH(C117,Matches_2!$A:$A,0)),""))),G117&lt;&gt;F117),Scoring_Constants!$B$7,0))</f>
        <v/>
      </c>
      <c r="L117">
        <f>IF(OR(H117="",IFERROR(INDEX(Matches_2!$H:$H,MATCH(C117,Matches_2!$A:$A,0)),"")=""),0,IF(H117=IFERROR(INDEX(Matches_2!$H:$H,MATCH(C117,Matches_2!$A:$A,0)),""),Scoring_Constants!$B$8,0))</f>
        <v/>
      </c>
      <c r="M117">
        <f>SUM(I117:L117)</f>
        <v/>
      </c>
      <c r="O117" t="b">
        <v>0</v>
      </c>
    </row>
    <row r="118">
      <c r="A118" t="inlineStr">
        <is>
          <t>M004</t>
        </is>
      </c>
      <c r="B118">
        <f>IFERROR(INDEX(Managers!$B:$B,MATCH(A118,Managers!$A:$A,0)),"")</f>
        <v/>
      </c>
      <c r="C118" t="inlineStr">
        <is>
          <t>R16_08</t>
        </is>
      </c>
      <c r="D118">
        <f>IFERROR(INDEX(Matches_2!$B:$B,MATCH(C118,Matches_2!$A:$A,0)),"")</f>
        <v/>
      </c>
      <c r="I118">
        <f>IF(OR(E118="",IFERROR(INDEX(Matches_2!$F:$F,MATCH(C118,Matches_2!$A:$A,0)),"")=""),0,IF(E118=IFERROR(INDEX(Matches_2!$F:$F,MATCH(C118,Matches_2!$A:$A,0)),""),Scoring_Constants!$B$6,0))</f>
        <v/>
      </c>
      <c r="J118">
        <f>IF(OR(F118="",IFERROR(INDEX(Matches_2!$G:$G,MATCH(C118,Matches_2!$A:$A,0)),"")=""),0,IF(ISNUMBER(SEARCH(F118,IFERROR(INDEX(Matches_2!$G:$G,MATCH(C118,Matches_2!$A:$A,0)),""))),Scoring_Constants!$B$7,0))</f>
        <v/>
      </c>
      <c r="K118">
        <f>IF(OR(G118="",IFERROR(INDEX(Matches_2!$G:$G,MATCH(C118,Matches_2!$A:$A,0)),"")=""),0,IF(AND(ISNUMBER(SEARCH(G118,IFERROR(INDEX(Matches_2!$G:$G,MATCH(C118,Matches_2!$A:$A,0)),""))),G118&lt;&gt;F118),Scoring_Constants!$B$7,0))</f>
        <v/>
      </c>
      <c r="L118">
        <f>IF(OR(H118="",IFERROR(INDEX(Matches_2!$H:$H,MATCH(C118,Matches_2!$A:$A,0)),"")=""),0,IF(H118=IFERROR(INDEX(Matches_2!$H:$H,MATCH(C118,Matches_2!$A:$A,0)),""),Scoring_Constants!$B$8,0))</f>
        <v/>
      </c>
      <c r="M118">
        <f>SUM(I118:L118)</f>
        <v/>
      </c>
      <c r="O118" t="b">
        <v>0</v>
      </c>
    </row>
    <row r="119">
      <c r="A119" t="inlineStr">
        <is>
          <t>M004</t>
        </is>
      </c>
      <c r="B119">
        <f>IFERROR(INDEX(Managers!$B:$B,MATCH(A119,Managers!$A:$A,0)),"")</f>
        <v/>
      </c>
      <c r="C119" t="inlineStr">
        <is>
          <t>QF_01</t>
        </is>
      </c>
      <c r="D119">
        <f>IFERROR(INDEX(Matches_2!$B:$B,MATCH(C119,Matches_2!$A:$A,0)),"")</f>
        <v/>
      </c>
      <c r="I119">
        <f>IF(OR(E119="",IFERROR(INDEX(Matches_2!$F:$F,MATCH(C119,Matches_2!$A:$A,0)),"")=""),0,IF(E119=IFERROR(INDEX(Matches_2!$F:$F,MATCH(C119,Matches_2!$A:$A,0)),""),Scoring_Constants!$B$6,0))</f>
        <v/>
      </c>
      <c r="J119">
        <f>IF(OR(F119="",IFERROR(INDEX(Matches_2!$G:$G,MATCH(C119,Matches_2!$A:$A,0)),"")=""),0,IF(ISNUMBER(SEARCH(F119,IFERROR(INDEX(Matches_2!$G:$G,MATCH(C119,Matches_2!$A:$A,0)),""))),Scoring_Constants!$B$7,0))</f>
        <v/>
      </c>
      <c r="K119">
        <f>IF(OR(G119="",IFERROR(INDEX(Matches_2!$G:$G,MATCH(C119,Matches_2!$A:$A,0)),"")=""),0,IF(AND(ISNUMBER(SEARCH(G119,IFERROR(INDEX(Matches_2!$G:$G,MATCH(C119,Matches_2!$A:$A,0)),""))),G119&lt;&gt;F119),Scoring_Constants!$B$7,0))</f>
        <v/>
      </c>
      <c r="L119">
        <f>IF(OR(H119="",IFERROR(INDEX(Matches_2!$H:$H,MATCH(C119,Matches_2!$A:$A,0)),"")=""),0,IF(H119=IFERROR(INDEX(Matches_2!$H:$H,MATCH(C119,Matches_2!$A:$A,0)),""),Scoring_Constants!$B$8,0))</f>
        <v/>
      </c>
      <c r="M119">
        <f>SUM(I119:L119)</f>
        <v/>
      </c>
      <c r="O119" t="b">
        <v>0</v>
      </c>
    </row>
    <row r="120">
      <c r="A120" t="inlineStr">
        <is>
          <t>M004</t>
        </is>
      </c>
      <c r="B120">
        <f>IFERROR(INDEX(Managers!$B:$B,MATCH(A120,Managers!$A:$A,0)),"")</f>
        <v/>
      </c>
      <c r="C120" t="inlineStr">
        <is>
          <t>QF_02</t>
        </is>
      </c>
      <c r="D120">
        <f>IFERROR(INDEX(Matches_2!$B:$B,MATCH(C120,Matches_2!$A:$A,0)),"")</f>
        <v/>
      </c>
      <c r="I120">
        <f>IF(OR(E120="",IFERROR(INDEX(Matches_2!$F:$F,MATCH(C120,Matches_2!$A:$A,0)),"")=""),0,IF(E120=IFERROR(INDEX(Matches_2!$F:$F,MATCH(C120,Matches_2!$A:$A,0)),""),Scoring_Constants!$B$6,0))</f>
        <v/>
      </c>
      <c r="J120">
        <f>IF(OR(F120="",IFERROR(INDEX(Matches_2!$G:$G,MATCH(C120,Matches_2!$A:$A,0)),"")=""),0,IF(ISNUMBER(SEARCH(F120,IFERROR(INDEX(Matches_2!$G:$G,MATCH(C120,Matches_2!$A:$A,0)),""))),Scoring_Constants!$B$7,0))</f>
        <v/>
      </c>
      <c r="K120">
        <f>IF(OR(G120="",IFERROR(INDEX(Matches_2!$G:$G,MATCH(C120,Matches_2!$A:$A,0)),"")=""),0,IF(AND(ISNUMBER(SEARCH(G120,IFERROR(INDEX(Matches_2!$G:$G,MATCH(C120,Matches_2!$A:$A,0)),""))),G120&lt;&gt;F120),Scoring_Constants!$B$7,0))</f>
        <v/>
      </c>
      <c r="L120">
        <f>IF(OR(H120="",IFERROR(INDEX(Matches_2!$H:$H,MATCH(C120,Matches_2!$A:$A,0)),"")=""),0,IF(H120=IFERROR(INDEX(Matches_2!$H:$H,MATCH(C120,Matches_2!$A:$A,0)),""),Scoring_Constants!$B$8,0))</f>
        <v/>
      </c>
      <c r="M120">
        <f>SUM(I120:L120)</f>
        <v/>
      </c>
      <c r="O120" t="b">
        <v>0</v>
      </c>
    </row>
    <row r="121">
      <c r="A121" t="inlineStr">
        <is>
          <t>M004</t>
        </is>
      </c>
      <c r="B121">
        <f>IFERROR(INDEX(Managers!$B:$B,MATCH(A121,Managers!$A:$A,0)),"")</f>
        <v/>
      </c>
      <c r="C121" t="inlineStr">
        <is>
          <t>QF_03</t>
        </is>
      </c>
      <c r="D121">
        <f>IFERROR(INDEX(Matches_2!$B:$B,MATCH(C121,Matches_2!$A:$A,0)),"")</f>
        <v/>
      </c>
      <c r="I121">
        <f>IF(OR(E121="",IFERROR(INDEX(Matches_2!$F:$F,MATCH(C121,Matches_2!$A:$A,0)),"")=""),0,IF(E121=IFERROR(INDEX(Matches_2!$F:$F,MATCH(C121,Matches_2!$A:$A,0)),""),Scoring_Constants!$B$6,0))</f>
        <v/>
      </c>
      <c r="J121">
        <f>IF(OR(F121="",IFERROR(INDEX(Matches_2!$G:$G,MATCH(C121,Matches_2!$A:$A,0)),"")=""),0,IF(ISNUMBER(SEARCH(F121,IFERROR(INDEX(Matches_2!$G:$G,MATCH(C121,Matches_2!$A:$A,0)),""))),Scoring_Constants!$B$7,0))</f>
        <v/>
      </c>
      <c r="K121">
        <f>IF(OR(G121="",IFERROR(INDEX(Matches_2!$G:$G,MATCH(C121,Matches_2!$A:$A,0)),"")=""),0,IF(AND(ISNUMBER(SEARCH(G121,IFERROR(INDEX(Matches_2!$G:$G,MATCH(C121,Matches_2!$A:$A,0)),""))),G121&lt;&gt;F121),Scoring_Constants!$B$7,0))</f>
        <v/>
      </c>
      <c r="L121">
        <f>IF(OR(H121="",IFERROR(INDEX(Matches_2!$H:$H,MATCH(C121,Matches_2!$A:$A,0)),"")=""),0,IF(H121=IFERROR(INDEX(Matches_2!$H:$H,MATCH(C121,Matches_2!$A:$A,0)),""),Scoring_Constants!$B$8,0))</f>
        <v/>
      </c>
      <c r="M121">
        <f>SUM(I121:L121)</f>
        <v/>
      </c>
      <c r="O121" t="b">
        <v>0</v>
      </c>
    </row>
    <row r="122">
      <c r="A122" t="inlineStr">
        <is>
          <t>M004</t>
        </is>
      </c>
      <c r="B122">
        <f>IFERROR(INDEX(Managers!$B:$B,MATCH(A122,Managers!$A:$A,0)),"")</f>
        <v/>
      </c>
      <c r="C122" t="inlineStr">
        <is>
          <t>QF_04</t>
        </is>
      </c>
      <c r="D122">
        <f>IFERROR(INDEX(Matches_2!$B:$B,MATCH(C122,Matches_2!$A:$A,0)),"")</f>
        <v/>
      </c>
      <c r="I122">
        <f>IF(OR(E122="",IFERROR(INDEX(Matches_2!$F:$F,MATCH(C122,Matches_2!$A:$A,0)),"")=""),0,IF(E122=IFERROR(INDEX(Matches_2!$F:$F,MATCH(C122,Matches_2!$A:$A,0)),""),Scoring_Constants!$B$6,0))</f>
        <v/>
      </c>
      <c r="J122">
        <f>IF(OR(F122="",IFERROR(INDEX(Matches_2!$G:$G,MATCH(C122,Matches_2!$A:$A,0)),"")=""),0,IF(ISNUMBER(SEARCH(F122,IFERROR(INDEX(Matches_2!$G:$G,MATCH(C122,Matches_2!$A:$A,0)),""))),Scoring_Constants!$B$7,0))</f>
        <v/>
      </c>
      <c r="K122">
        <f>IF(OR(G122="",IFERROR(INDEX(Matches_2!$G:$G,MATCH(C122,Matches_2!$A:$A,0)),"")=""),0,IF(AND(ISNUMBER(SEARCH(G122,IFERROR(INDEX(Matches_2!$G:$G,MATCH(C122,Matches_2!$A:$A,0)),""))),G122&lt;&gt;F122),Scoring_Constants!$B$7,0))</f>
        <v/>
      </c>
      <c r="L122">
        <f>IF(OR(H122="",IFERROR(INDEX(Matches_2!$H:$H,MATCH(C122,Matches_2!$A:$A,0)),"")=""),0,IF(H122=IFERROR(INDEX(Matches_2!$H:$H,MATCH(C122,Matches_2!$A:$A,0)),""),Scoring_Constants!$B$8,0))</f>
        <v/>
      </c>
      <c r="M122">
        <f>SUM(I122:L122)</f>
        <v/>
      </c>
      <c r="O122" t="b">
        <v>0</v>
      </c>
    </row>
    <row r="123">
      <c r="A123" t="inlineStr">
        <is>
          <t>M004</t>
        </is>
      </c>
      <c r="B123">
        <f>IFERROR(INDEX(Managers!$B:$B,MATCH(A123,Managers!$A:$A,0)),"")</f>
        <v/>
      </c>
      <c r="C123" t="inlineStr">
        <is>
          <t>SF_01</t>
        </is>
      </c>
      <c r="D123">
        <f>IFERROR(INDEX(Matches_2!$B:$B,MATCH(C123,Matches_2!$A:$A,0)),"")</f>
        <v/>
      </c>
      <c r="I123">
        <f>IF(OR(E123="",IFERROR(INDEX(Matches_2!$F:$F,MATCH(C123,Matches_2!$A:$A,0)),"")=""),0,IF(E123=IFERROR(INDEX(Matches_2!$F:$F,MATCH(C123,Matches_2!$A:$A,0)),""),Scoring_Constants!$B$6,0))</f>
        <v/>
      </c>
      <c r="J123">
        <f>IF(OR(F123="",IFERROR(INDEX(Matches_2!$G:$G,MATCH(C123,Matches_2!$A:$A,0)),"")=""),0,IF(ISNUMBER(SEARCH(F123,IFERROR(INDEX(Matches_2!$G:$G,MATCH(C123,Matches_2!$A:$A,0)),""))),Scoring_Constants!$B$7,0))</f>
        <v/>
      </c>
      <c r="K123">
        <f>IF(OR(G123="",IFERROR(INDEX(Matches_2!$G:$G,MATCH(C123,Matches_2!$A:$A,0)),"")=""),0,IF(AND(ISNUMBER(SEARCH(G123,IFERROR(INDEX(Matches_2!$G:$G,MATCH(C123,Matches_2!$A:$A,0)),""))),G123&lt;&gt;F123),Scoring_Constants!$B$7,0))</f>
        <v/>
      </c>
      <c r="L123">
        <f>IF(OR(H123="",IFERROR(INDEX(Matches_2!$H:$H,MATCH(C123,Matches_2!$A:$A,0)),"")=""),0,IF(H123=IFERROR(INDEX(Matches_2!$H:$H,MATCH(C123,Matches_2!$A:$A,0)),""),Scoring_Constants!$B$8,0))</f>
        <v/>
      </c>
      <c r="M123">
        <f>SUM(I123:L123)</f>
        <v/>
      </c>
      <c r="O123" t="b">
        <v>0</v>
      </c>
    </row>
    <row r="124">
      <c r="A124" t="inlineStr">
        <is>
          <t>M004</t>
        </is>
      </c>
      <c r="B124">
        <f>IFERROR(INDEX(Managers!$B:$B,MATCH(A124,Managers!$A:$A,0)),"")</f>
        <v/>
      </c>
      <c r="C124" t="inlineStr">
        <is>
          <t>SF_02</t>
        </is>
      </c>
      <c r="D124">
        <f>IFERROR(INDEX(Matches_2!$B:$B,MATCH(C124,Matches_2!$A:$A,0)),"")</f>
        <v/>
      </c>
      <c r="I124">
        <f>IF(OR(E124="",IFERROR(INDEX(Matches_2!$F:$F,MATCH(C124,Matches_2!$A:$A,0)),"")=""),0,IF(E124=IFERROR(INDEX(Matches_2!$F:$F,MATCH(C124,Matches_2!$A:$A,0)),""),Scoring_Constants!$B$6,0))</f>
        <v/>
      </c>
      <c r="J124">
        <f>IF(OR(F124="",IFERROR(INDEX(Matches_2!$G:$G,MATCH(C124,Matches_2!$A:$A,0)),"")=""),0,IF(ISNUMBER(SEARCH(F124,IFERROR(INDEX(Matches_2!$G:$G,MATCH(C124,Matches_2!$A:$A,0)),""))),Scoring_Constants!$B$7,0))</f>
        <v/>
      </c>
      <c r="K124">
        <f>IF(OR(G124="",IFERROR(INDEX(Matches_2!$G:$G,MATCH(C124,Matches_2!$A:$A,0)),"")=""),0,IF(AND(ISNUMBER(SEARCH(G124,IFERROR(INDEX(Matches_2!$G:$G,MATCH(C124,Matches_2!$A:$A,0)),""))),G124&lt;&gt;F124),Scoring_Constants!$B$7,0))</f>
        <v/>
      </c>
      <c r="L124">
        <f>IF(OR(H124="",IFERROR(INDEX(Matches_2!$H:$H,MATCH(C124,Matches_2!$A:$A,0)),"")=""),0,IF(H124=IFERROR(INDEX(Matches_2!$H:$H,MATCH(C124,Matches_2!$A:$A,0)),""),Scoring_Constants!$B$8,0))</f>
        <v/>
      </c>
      <c r="M124">
        <f>SUM(I124:L124)</f>
        <v/>
      </c>
      <c r="O124" t="b">
        <v>0</v>
      </c>
    </row>
    <row r="125">
      <c r="A125" t="inlineStr">
        <is>
          <t>M004</t>
        </is>
      </c>
      <c r="B125">
        <f>IFERROR(INDEX(Managers!$B:$B,MATCH(A125,Managers!$A:$A,0)),"")</f>
        <v/>
      </c>
      <c r="C125" t="inlineStr">
        <is>
          <t>F_01</t>
        </is>
      </c>
      <c r="D125">
        <f>IFERROR(INDEX(Matches_2!$B:$B,MATCH(C125,Matches_2!$A:$A,0)),"")</f>
        <v/>
      </c>
      <c r="I125">
        <f>IF(OR(E125="",IFERROR(INDEX(Matches_2!$F:$F,MATCH(C125,Matches_2!$A:$A,0)),"")=""),0,IF(E125=IFERROR(INDEX(Matches_2!$F:$F,MATCH(C125,Matches_2!$A:$A,0)),""),Scoring_Constants!$B$6,0))</f>
        <v/>
      </c>
      <c r="J125">
        <f>IF(OR(F125="",IFERROR(INDEX(Matches_2!$G:$G,MATCH(C125,Matches_2!$A:$A,0)),"")=""),0,IF(ISNUMBER(SEARCH(F125,IFERROR(INDEX(Matches_2!$G:$G,MATCH(C125,Matches_2!$A:$A,0)),""))),Scoring_Constants!$B$7,0))</f>
        <v/>
      </c>
      <c r="K125">
        <f>IF(OR(G125="",IFERROR(INDEX(Matches_2!$G:$G,MATCH(C125,Matches_2!$A:$A,0)),"")=""),0,IF(AND(ISNUMBER(SEARCH(G125,IFERROR(INDEX(Matches_2!$G:$G,MATCH(C125,Matches_2!$A:$A,0)),""))),G125&lt;&gt;F125),Scoring_Constants!$B$7,0))</f>
        <v/>
      </c>
      <c r="L125">
        <f>IF(OR(H125="",IFERROR(INDEX(Matches_2!$H:$H,MATCH(C125,Matches_2!$A:$A,0)),"")=""),0,IF(H125=IFERROR(INDEX(Matches_2!$H:$H,MATCH(C125,Matches_2!$A:$A,0)),""),Scoring_Constants!$B$8,0))</f>
        <v/>
      </c>
      <c r="M125">
        <f>SUM(I125:L125)</f>
        <v/>
      </c>
      <c r="O125" t="b">
        <v>0</v>
      </c>
    </row>
    <row r="126">
      <c r="A126" t="inlineStr">
        <is>
          <t>M005</t>
        </is>
      </c>
      <c r="B126">
        <f>IFERROR(INDEX(Managers!$B:$B,MATCH(A126,Managers!$A:$A,0)),"")</f>
        <v/>
      </c>
      <c r="C126" t="inlineStr">
        <is>
          <t>R32_01</t>
        </is>
      </c>
      <c r="D126">
        <f>IFERROR(INDEX(Matches_2!$B:$B,MATCH(C126,Matches_2!$A:$A,0)),"")</f>
        <v/>
      </c>
      <c r="I126">
        <f>IF(OR(E126="",IFERROR(INDEX(Matches_2!$F:$F,MATCH(C126,Matches_2!$A:$A,0)),"")=""),0,IF(E126=IFERROR(INDEX(Matches_2!$F:$F,MATCH(C126,Matches_2!$A:$A,0)),""),Scoring_Constants!$B$6,0))</f>
        <v/>
      </c>
      <c r="J126">
        <f>IF(OR(F126="",IFERROR(INDEX(Matches_2!$G:$G,MATCH(C126,Matches_2!$A:$A,0)),"")=""),0,IF(ISNUMBER(SEARCH(F126,IFERROR(INDEX(Matches_2!$G:$G,MATCH(C126,Matches_2!$A:$A,0)),""))),Scoring_Constants!$B$7,0))</f>
        <v/>
      </c>
      <c r="K126">
        <f>IF(OR(G126="",IFERROR(INDEX(Matches_2!$G:$G,MATCH(C126,Matches_2!$A:$A,0)),"")=""),0,IF(AND(ISNUMBER(SEARCH(G126,IFERROR(INDEX(Matches_2!$G:$G,MATCH(C126,Matches_2!$A:$A,0)),""))),G126&lt;&gt;F126),Scoring_Constants!$B$7,0))</f>
        <v/>
      </c>
      <c r="L126">
        <f>IF(OR(H126="",IFERROR(INDEX(Matches_2!$H:$H,MATCH(C126,Matches_2!$A:$A,0)),"")=""),0,IF(H126=IFERROR(INDEX(Matches_2!$H:$H,MATCH(C126,Matches_2!$A:$A,0)),""),Scoring_Constants!$B$8,0))</f>
        <v/>
      </c>
      <c r="M126">
        <f>SUM(I126:L126)</f>
        <v/>
      </c>
      <c r="O126" t="b">
        <v>0</v>
      </c>
    </row>
    <row r="127">
      <c r="A127" t="inlineStr">
        <is>
          <t>M005</t>
        </is>
      </c>
      <c r="B127">
        <f>IFERROR(INDEX(Managers!$B:$B,MATCH(A127,Managers!$A:$A,0)),"")</f>
        <v/>
      </c>
      <c r="C127" t="inlineStr">
        <is>
          <t>R32_02</t>
        </is>
      </c>
      <c r="D127">
        <f>IFERROR(INDEX(Matches_2!$B:$B,MATCH(C127,Matches_2!$A:$A,0)),"")</f>
        <v/>
      </c>
      <c r="I127">
        <f>IF(OR(E127="",IFERROR(INDEX(Matches_2!$F:$F,MATCH(C127,Matches_2!$A:$A,0)),"")=""),0,IF(E127=IFERROR(INDEX(Matches_2!$F:$F,MATCH(C127,Matches_2!$A:$A,0)),""),Scoring_Constants!$B$6,0))</f>
        <v/>
      </c>
      <c r="J127">
        <f>IF(OR(F127="",IFERROR(INDEX(Matches_2!$G:$G,MATCH(C127,Matches_2!$A:$A,0)),"")=""),0,IF(ISNUMBER(SEARCH(F127,IFERROR(INDEX(Matches_2!$G:$G,MATCH(C127,Matches_2!$A:$A,0)),""))),Scoring_Constants!$B$7,0))</f>
        <v/>
      </c>
      <c r="K127">
        <f>IF(OR(G127="",IFERROR(INDEX(Matches_2!$G:$G,MATCH(C127,Matches_2!$A:$A,0)),"")=""),0,IF(AND(ISNUMBER(SEARCH(G127,IFERROR(INDEX(Matches_2!$G:$G,MATCH(C127,Matches_2!$A:$A,0)),""))),G127&lt;&gt;F127),Scoring_Constants!$B$7,0))</f>
        <v/>
      </c>
      <c r="L127">
        <f>IF(OR(H127="",IFERROR(INDEX(Matches_2!$H:$H,MATCH(C127,Matches_2!$A:$A,0)),"")=""),0,IF(H127=IFERROR(INDEX(Matches_2!$H:$H,MATCH(C127,Matches_2!$A:$A,0)),""),Scoring_Constants!$B$8,0))</f>
        <v/>
      </c>
      <c r="M127">
        <f>SUM(I127:L127)</f>
        <v/>
      </c>
      <c r="O127" t="b">
        <v>0</v>
      </c>
    </row>
    <row r="128">
      <c r="A128" t="inlineStr">
        <is>
          <t>M005</t>
        </is>
      </c>
      <c r="B128">
        <f>IFERROR(INDEX(Managers!$B:$B,MATCH(A128,Managers!$A:$A,0)),"")</f>
        <v/>
      </c>
      <c r="C128" t="inlineStr">
        <is>
          <t>R32_03</t>
        </is>
      </c>
      <c r="D128">
        <f>IFERROR(INDEX(Matches_2!$B:$B,MATCH(C128,Matches_2!$A:$A,0)),"")</f>
        <v/>
      </c>
      <c r="I128">
        <f>IF(OR(E128="",IFERROR(INDEX(Matches_2!$F:$F,MATCH(C128,Matches_2!$A:$A,0)),"")=""),0,IF(E128=IFERROR(INDEX(Matches_2!$F:$F,MATCH(C128,Matches_2!$A:$A,0)),""),Scoring_Constants!$B$6,0))</f>
        <v/>
      </c>
      <c r="J128">
        <f>IF(OR(F128="",IFERROR(INDEX(Matches_2!$G:$G,MATCH(C128,Matches_2!$A:$A,0)),"")=""),0,IF(ISNUMBER(SEARCH(F128,IFERROR(INDEX(Matches_2!$G:$G,MATCH(C128,Matches_2!$A:$A,0)),""))),Scoring_Constants!$B$7,0))</f>
        <v/>
      </c>
      <c r="K128">
        <f>IF(OR(G128="",IFERROR(INDEX(Matches_2!$G:$G,MATCH(C128,Matches_2!$A:$A,0)),"")=""),0,IF(AND(ISNUMBER(SEARCH(G128,IFERROR(INDEX(Matches_2!$G:$G,MATCH(C128,Matches_2!$A:$A,0)),""))),G128&lt;&gt;F128),Scoring_Constants!$B$7,0))</f>
        <v/>
      </c>
      <c r="L128">
        <f>IF(OR(H128="",IFERROR(INDEX(Matches_2!$H:$H,MATCH(C128,Matches_2!$A:$A,0)),"")=""),0,IF(H128=IFERROR(INDEX(Matches_2!$H:$H,MATCH(C128,Matches_2!$A:$A,0)),""),Scoring_Constants!$B$8,0))</f>
        <v/>
      </c>
      <c r="M128">
        <f>SUM(I128:L128)</f>
        <v/>
      </c>
      <c r="O128" t="b">
        <v>0</v>
      </c>
    </row>
    <row r="129">
      <c r="A129" t="inlineStr">
        <is>
          <t>M005</t>
        </is>
      </c>
      <c r="B129">
        <f>IFERROR(INDEX(Managers!$B:$B,MATCH(A129,Managers!$A:$A,0)),"")</f>
        <v/>
      </c>
      <c r="C129" t="inlineStr">
        <is>
          <t>R32_04</t>
        </is>
      </c>
      <c r="D129">
        <f>IFERROR(INDEX(Matches_2!$B:$B,MATCH(C129,Matches_2!$A:$A,0)),"")</f>
        <v/>
      </c>
      <c r="I129">
        <f>IF(OR(E129="",IFERROR(INDEX(Matches_2!$F:$F,MATCH(C129,Matches_2!$A:$A,0)),"")=""),0,IF(E129=IFERROR(INDEX(Matches_2!$F:$F,MATCH(C129,Matches_2!$A:$A,0)),""),Scoring_Constants!$B$6,0))</f>
        <v/>
      </c>
      <c r="J129">
        <f>IF(OR(F129="",IFERROR(INDEX(Matches_2!$G:$G,MATCH(C129,Matches_2!$A:$A,0)),"")=""),0,IF(ISNUMBER(SEARCH(F129,IFERROR(INDEX(Matches_2!$G:$G,MATCH(C129,Matches_2!$A:$A,0)),""))),Scoring_Constants!$B$7,0))</f>
        <v/>
      </c>
      <c r="K129">
        <f>IF(OR(G129="",IFERROR(INDEX(Matches_2!$G:$G,MATCH(C129,Matches_2!$A:$A,0)),"")=""),0,IF(AND(ISNUMBER(SEARCH(G129,IFERROR(INDEX(Matches_2!$G:$G,MATCH(C129,Matches_2!$A:$A,0)),""))),G129&lt;&gt;F129),Scoring_Constants!$B$7,0))</f>
        <v/>
      </c>
      <c r="L129">
        <f>IF(OR(H129="",IFERROR(INDEX(Matches_2!$H:$H,MATCH(C129,Matches_2!$A:$A,0)),"")=""),0,IF(H129=IFERROR(INDEX(Matches_2!$H:$H,MATCH(C129,Matches_2!$A:$A,0)),""),Scoring_Constants!$B$8,0))</f>
        <v/>
      </c>
      <c r="M129">
        <f>SUM(I129:L129)</f>
        <v/>
      </c>
      <c r="O129" t="b">
        <v>0</v>
      </c>
    </row>
    <row r="130">
      <c r="A130" t="inlineStr">
        <is>
          <t>M005</t>
        </is>
      </c>
      <c r="B130">
        <f>IFERROR(INDEX(Managers!$B:$B,MATCH(A130,Managers!$A:$A,0)),"")</f>
        <v/>
      </c>
      <c r="C130" t="inlineStr">
        <is>
          <t>R32_05</t>
        </is>
      </c>
      <c r="D130">
        <f>IFERROR(INDEX(Matches_2!$B:$B,MATCH(C130,Matches_2!$A:$A,0)),"")</f>
        <v/>
      </c>
      <c r="I130">
        <f>IF(OR(E130="",IFERROR(INDEX(Matches_2!$F:$F,MATCH(C130,Matches_2!$A:$A,0)),"")=""),0,IF(E130=IFERROR(INDEX(Matches_2!$F:$F,MATCH(C130,Matches_2!$A:$A,0)),""),Scoring_Constants!$B$6,0))</f>
        <v/>
      </c>
      <c r="J130">
        <f>IF(OR(F130="",IFERROR(INDEX(Matches_2!$G:$G,MATCH(C130,Matches_2!$A:$A,0)),"")=""),0,IF(ISNUMBER(SEARCH(F130,IFERROR(INDEX(Matches_2!$G:$G,MATCH(C130,Matches_2!$A:$A,0)),""))),Scoring_Constants!$B$7,0))</f>
        <v/>
      </c>
      <c r="K130">
        <f>IF(OR(G130="",IFERROR(INDEX(Matches_2!$G:$G,MATCH(C130,Matches_2!$A:$A,0)),"")=""),0,IF(AND(ISNUMBER(SEARCH(G130,IFERROR(INDEX(Matches_2!$G:$G,MATCH(C130,Matches_2!$A:$A,0)),""))),G130&lt;&gt;F130),Scoring_Constants!$B$7,0))</f>
        <v/>
      </c>
      <c r="L130">
        <f>IF(OR(H130="",IFERROR(INDEX(Matches_2!$H:$H,MATCH(C130,Matches_2!$A:$A,0)),"")=""),0,IF(H130=IFERROR(INDEX(Matches_2!$H:$H,MATCH(C130,Matches_2!$A:$A,0)),""),Scoring_Constants!$B$8,0))</f>
        <v/>
      </c>
      <c r="M130">
        <f>SUM(I130:L130)</f>
        <v/>
      </c>
      <c r="O130" t="b">
        <v>0</v>
      </c>
    </row>
    <row r="131">
      <c r="A131" t="inlineStr">
        <is>
          <t>M005</t>
        </is>
      </c>
      <c r="B131">
        <f>IFERROR(INDEX(Managers!$B:$B,MATCH(A131,Managers!$A:$A,0)),"")</f>
        <v/>
      </c>
      <c r="C131" t="inlineStr">
        <is>
          <t>R32_06</t>
        </is>
      </c>
      <c r="D131">
        <f>IFERROR(INDEX(Matches_2!$B:$B,MATCH(C131,Matches_2!$A:$A,0)),"")</f>
        <v/>
      </c>
      <c r="I131">
        <f>IF(OR(E131="",IFERROR(INDEX(Matches_2!$F:$F,MATCH(C131,Matches_2!$A:$A,0)),"")=""),0,IF(E131=IFERROR(INDEX(Matches_2!$F:$F,MATCH(C131,Matches_2!$A:$A,0)),""),Scoring_Constants!$B$6,0))</f>
        <v/>
      </c>
      <c r="J131">
        <f>IF(OR(F131="",IFERROR(INDEX(Matches_2!$G:$G,MATCH(C131,Matches_2!$A:$A,0)),"")=""),0,IF(ISNUMBER(SEARCH(F131,IFERROR(INDEX(Matches_2!$G:$G,MATCH(C131,Matches_2!$A:$A,0)),""))),Scoring_Constants!$B$7,0))</f>
        <v/>
      </c>
      <c r="K131">
        <f>IF(OR(G131="",IFERROR(INDEX(Matches_2!$G:$G,MATCH(C131,Matches_2!$A:$A,0)),"")=""),0,IF(AND(ISNUMBER(SEARCH(G131,IFERROR(INDEX(Matches_2!$G:$G,MATCH(C131,Matches_2!$A:$A,0)),""))),G131&lt;&gt;F131),Scoring_Constants!$B$7,0))</f>
        <v/>
      </c>
      <c r="L131">
        <f>IF(OR(H131="",IFERROR(INDEX(Matches_2!$H:$H,MATCH(C131,Matches_2!$A:$A,0)),"")=""),0,IF(H131=IFERROR(INDEX(Matches_2!$H:$H,MATCH(C131,Matches_2!$A:$A,0)),""),Scoring_Constants!$B$8,0))</f>
        <v/>
      </c>
      <c r="M131">
        <f>SUM(I131:L131)</f>
        <v/>
      </c>
      <c r="O131" t="b">
        <v>0</v>
      </c>
    </row>
    <row r="132">
      <c r="A132" t="inlineStr">
        <is>
          <t>M005</t>
        </is>
      </c>
      <c r="B132">
        <f>IFERROR(INDEX(Managers!$B:$B,MATCH(A132,Managers!$A:$A,0)),"")</f>
        <v/>
      </c>
      <c r="C132" t="inlineStr">
        <is>
          <t>R32_07</t>
        </is>
      </c>
      <c r="D132">
        <f>IFERROR(INDEX(Matches_2!$B:$B,MATCH(C132,Matches_2!$A:$A,0)),"")</f>
        <v/>
      </c>
      <c r="I132">
        <f>IF(OR(E132="",IFERROR(INDEX(Matches_2!$F:$F,MATCH(C132,Matches_2!$A:$A,0)),"")=""),0,IF(E132=IFERROR(INDEX(Matches_2!$F:$F,MATCH(C132,Matches_2!$A:$A,0)),""),Scoring_Constants!$B$6,0))</f>
        <v/>
      </c>
      <c r="J132">
        <f>IF(OR(F132="",IFERROR(INDEX(Matches_2!$G:$G,MATCH(C132,Matches_2!$A:$A,0)),"")=""),0,IF(ISNUMBER(SEARCH(F132,IFERROR(INDEX(Matches_2!$G:$G,MATCH(C132,Matches_2!$A:$A,0)),""))),Scoring_Constants!$B$7,0))</f>
        <v/>
      </c>
      <c r="K132">
        <f>IF(OR(G132="",IFERROR(INDEX(Matches_2!$G:$G,MATCH(C132,Matches_2!$A:$A,0)),"")=""),0,IF(AND(ISNUMBER(SEARCH(G132,IFERROR(INDEX(Matches_2!$G:$G,MATCH(C132,Matches_2!$A:$A,0)),""))),G132&lt;&gt;F132),Scoring_Constants!$B$7,0))</f>
        <v/>
      </c>
      <c r="L132">
        <f>IF(OR(H132="",IFERROR(INDEX(Matches_2!$H:$H,MATCH(C132,Matches_2!$A:$A,0)),"")=""),0,IF(H132=IFERROR(INDEX(Matches_2!$H:$H,MATCH(C132,Matches_2!$A:$A,0)),""),Scoring_Constants!$B$8,0))</f>
        <v/>
      </c>
      <c r="M132">
        <f>SUM(I132:L132)</f>
        <v/>
      </c>
      <c r="O132" t="b">
        <v>0</v>
      </c>
    </row>
    <row r="133">
      <c r="A133" t="inlineStr">
        <is>
          <t>M005</t>
        </is>
      </c>
      <c r="B133">
        <f>IFERROR(INDEX(Managers!$B:$B,MATCH(A133,Managers!$A:$A,0)),"")</f>
        <v/>
      </c>
      <c r="C133" t="inlineStr">
        <is>
          <t>R32_08</t>
        </is>
      </c>
      <c r="D133">
        <f>IFERROR(INDEX(Matches_2!$B:$B,MATCH(C133,Matches_2!$A:$A,0)),"")</f>
        <v/>
      </c>
      <c r="I133">
        <f>IF(OR(E133="",IFERROR(INDEX(Matches_2!$F:$F,MATCH(C133,Matches_2!$A:$A,0)),"")=""),0,IF(E133=IFERROR(INDEX(Matches_2!$F:$F,MATCH(C133,Matches_2!$A:$A,0)),""),Scoring_Constants!$B$6,0))</f>
        <v/>
      </c>
      <c r="J133">
        <f>IF(OR(F133="",IFERROR(INDEX(Matches_2!$G:$G,MATCH(C133,Matches_2!$A:$A,0)),"")=""),0,IF(ISNUMBER(SEARCH(F133,IFERROR(INDEX(Matches_2!$G:$G,MATCH(C133,Matches_2!$A:$A,0)),""))),Scoring_Constants!$B$7,0))</f>
        <v/>
      </c>
      <c r="K133">
        <f>IF(OR(G133="",IFERROR(INDEX(Matches_2!$G:$G,MATCH(C133,Matches_2!$A:$A,0)),"")=""),0,IF(AND(ISNUMBER(SEARCH(G133,IFERROR(INDEX(Matches_2!$G:$G,MATCH(C133,Matches_2!$A:$A,0)),""))),G133&lt;&gt;F133),Scoring_Constants!$B$7,0))</f>
        <v/>
      </c>
      <c r="L133">
        <f>IF(OR(H133="",IFERROR(INDEX(Matches_2!$H:$H,MATCH(C133,Matches_2!$A:$A,0)),"")=""),0,IF(H133=IFERROR(INDEX(Matches_2!$H:$H,MATCH(C133,Matches_2!$A:$A,0)),""),Scoring_Constants!$B$8,0))</f>
        <v/>
      </c>
      <c r="M133">
        <f>SUM(I133:L133)</f>
        <v/>
      </c>
      <c r="O133" t="b">
        <v>0</v>
      </c>
    </row>
    <row r="134">
      <c r="A134" t="inlineStr">
        <is>
          <t>M005</t>
        </is>
      </c>
      <c r="B134">
        <f>IFERROR(INDEX(Managers!$B:$B,MATCH(A134,Managers!$A:$A,0)),"")</f>
        <v/>
      </c>
      <c r="C134" t="inlineStr">
        <is>
          <t>R32_09</t>
        </is>
      </c>
      <c r="D134">
        <f>IFERROR(INDEX(Matches_2!$B:$B,MATCH(C134,Matches_2!$A:$A,0)),"")</f>
        <v/>
      </c>
      <c r="I134">
        <f>IF(OR(E134="",IFERROR(INDEX(Matches_2!$F:$F,MATCH(C134,Matches_2!$A:$A,0)),"")=""),0,IF(E134=IFERROR(INDEX(Matches_2!$F:$F,MATCH(C134,Matches_2!$A:$A,0)),""),Scoring_Constants!$B$6,0))</f>
        <v/>
      </c>
      <c r="J134">
        <f>IF(OR(F134="",IFERROR(INDEX(Matches_2!$G:$G,MATCH(C134,Matches_2!$A:$A,0)),"")=""),0,IF(ISNUMBER(SEARCH(F134,IFERROR(INDEX(Matches_2!$G:$G,MATCH(C134,Matches_2!$A:$A,0)),""))),Scoring_Constants!$B$7,0))</f>
        <v/>
      </c>
      <c r="K134">
        <f>IF(OR(G134="",IFERROR(INDEX(Matches_2!$G:$G,MATCH(C134,Matches_2!$A:$A,0)),"")=""),0,IF(AND(ISNUMBER(SEARCH(G134,IFERROR(INDEX(Matches_2!$G:$G,MATCH(C134,Matches_2!$A:$A,0)),""))),G134&lt;&gt;F134),Scoring_Constants!$B$7,0))</f>
        <v/>
      </c>
      <c r="L134">
        <f>IF(OR(H134="",IFERROR(INDEX(Matches_2!$H:$H,MATCH(C134,Matches_2!$A:$A,0)),"")=""),0,IF(H134=IFERROR(INDEX(Matches_2!$H:$H,MATCH(C134,Matches_2!$A:$A,0)),""),Scoring_Constants!$B$8,0))</f>
        <v/>
      </c>
      <c r="M134">
        <f>SUM(I134:L134)</f>
        <v/>
      </c>
      <c r="O134" t="b">
        <v>0</v>
      </c>
    </row>
    <row r="135">
      <c r="A135" t="inlineStr">
        <is>
          <t>M005</t>
        </is>
      </c>
      <c r="B135">
        <f>IFERROR(INDEX(Managers!$B:$B,MATCH(A135,Managers!$A:$A,0)),"")</f>
        <v/>
      </c>
      <c r="C135" t="inlineStr">
        <is>
          <t>R32_10</t>
        </is>
      </c>
      <c r="D135">
        <f>IFERROR(INDEX(Matches_2!$B:$B,MATCH(C135,Matches_2!$A:$A,0)),"")</f>
        <v/>
      </c>
      <c r="I135">
        <f>IF(OR(E135="",IFERROR(INDEX(Matches_2!$F:$F,MATCH(C135,Matches_2!$A:$A,0)),"")=""),0,IF(E135=IFERROR(INDEX(Matches_2!$F:$F,MATCH(C135,Matches_2!$A:$A,0)),""),Scoring_Constants!$B$6,0))</f>
        <v/>
      </c>
      <c r="J135">
        <f>IF(OR(F135="",IFERROR(INDEX(Matches_2!$G:$G,MATCH(C135,Matches_2!$A:$A,0)),"")=""),0,IF(ISNUMBER(SEARCH(F135,IFERROR(INDEX(Matches_2!$G:$G,MATCH(C135,Matches_2!$A:$A,0)),""))),Scoring_Constants!$B$7,0))</f>
        <v/>
      </c>
      <c r="K135">
        <f>IF(OR(G135="",IFERROR(INDEX(Matches_2!$G:$G,MATCH(C135,Matches_2!$A:$A,0)),"")=""),0,IF(AND(ISNUMBER(SEARCH(G135,IFERROR(INDEX(Matches_2!$G:$G,MATCH(C135,Matches_2!$A:$A,0)),""))),G135&lt;&gt;F135),Scoring_Constants!$B$7,0))</f>
        <v/>
      </c>
      <c r="L135">
        <f>IF(OR(H135="",IFERROR(INDEX(Matches_2!$H:$H,MATCH(C135,Matches_2!$A:$A,0)),"")=""),0,IF(H135=IFERROR(INDEX(Matches_2!$H:$H,MATCH(C135,Matches_2!$A:$A,0)),""),Scoring_Constants!$B$8,0))</f>
        <v/>
      </c>
      <c r="M135">
        <f>SUM(I135:L135)</f>
        <v/>
      </c>
      <c r="O135" t="b">
        <v>0</v>
      </c>
    </row>
    <row r="136">
      <c r="A136" t="inlineStr">
        <is>
          <t>M005</t>
        </is>
      </c>
      <c r="B136">
        <f>IFERROR(INDEX(Managers!$B:$B,MATCH(A136,Managers!$A:$A,0)),"")</f>
        <v/>
      </c>
      <c r="C136" t="inlineStr">
        <is>
          <t>R32_11</t>
        </is>
      </c>
      <c r="D136">
        <f>IFERROR(INDEX(Matches_2!$B:$B,MATCH(C136,Matches_2!$A:$A,0)),"")</f>
        <v/>
      </c>
      <c r="I136">
        <f>IF(OR(E136="",IFERROR(INDEX(Matches_2!$F:$F,MATCH(C136,Matches_2!$A:$A,0)),"")=""),0,IF(E136=IFERROR(INDEX(Matches_2!$F:$F,MATCH(C136,Matches_2!$A:$A,0)),""),Scoring_Constants!$B$6,0))</f>
        <v/>
      </c>
      <c r="J136">
        <f>IF(OR(F136="",IFERROR(INDEX(Matches_2!$G:$G,MATCH(C136,Matches_2!$A:$A,0)),"")=""),0,IF(ISNUMBER(SEARCH(F136,IFERROR(INDEX(Matches_2!$G:$G,MATCH(C136,Matches_2!$A:$A,0)),""))),Scoring_Constants!$B$7,0))</f>
        <v/>
      </c>
      <c r="K136">
        <f>IF(OR(G136="",IFERROR(INDEX(Matches_2!$G:$G,MATCH(C136,Matches_2!$A:$A,0)),"")=""),0,IF(AND(ISNUMBER(SEARCH(G136,IFERROR(INDEX(Matches_2!$G:$G,MATCH(C136,Matches_2!$A:$A,0)),""))),G136&lt;&gt;F136),Scoring_Constants!$B$7,0))</f>
        <v/>
      </c>
      <c r="L136">
        <f>IF(OR(H136="",IFERROR(INDEX(Matches_2!$H:$H,MATCH(C136,Matches_2!$A:$A,0)),"")=""),0,IF(H136=IFERROR(INDEX(Matches_2!$H:$H,MATCH(C136,Matches_2!$A:$A,0)),""),Scoring_Constants!$B$8,0))</f>
        <v/>
      </c>
      <c r="M136">
        <f>SUM(I136:L136)</f>
        <v/>
      </c>
      <c r="O136" t="b">
        <v>0</v>
      </c>
    </row>
    <row r="137">
      <c r="A137" t="inlineStr">
        <is>
          <t>M005</t>
        </is>
      </c>
      <c r="B137">
        <f>IFERROR(INDEX(Managers!$B:$B,MATCH(A137,Managers!$A:$A,0)),"")</f>
        <v/>
      </c>
      <c r="C137" t="inlineStr">
        <is>
          <t>R32_12</t>
        </is>
      </c>
      <c r="D137">
        <f>IFERROR(INDEX(Matches_2!$B:$B,MATCH(C137,Matches_2!$A:$A,0)),"")</f>
        <v/>
      </c>
      <c r="I137">
        <f>IF(OR(E137="",IFERROR(INDEX(Matches_2!$F:$F,MATCH(C137,Matches_2!$A:$A,0)),"")=""),0,IF(E137=IFERROR(INDEX(Matches_2!$F:$F,MATCH(C137,Matches_2!$A:$A,0)),""),Scoring_Constants!$B$6,0))</f>
        <v/>
      </c>
      <c r="J137">
        <f>IF(OR(F137="",IFERROR(INDEX(Matches_2!$G:$G,MATCH(C137,Matches_2!$A:$A,0)),"")=""),0,IF(ISNUMBER(SEARCH(F137,IFERROR(INDEX(Matches_2!$G:$G,MATCH(C137,Matches_2!$A:$A,0)),""))),Scoring_Constants!$B$7,0))</f>
        <v/>
      </c>
      <c r="K137">
        <f>IF(OR(G137="",IFERROR(INDEX(Matches_2!$G:$G,MATCH(C137,Matches_2!$A:$A,0)),"")=""),0,IF(AND(ISNUMBER(SEARCH(G137,IFERROR(INDEX(Matches_2!$G:$G,MATCH(C137,Matches_2!$A:$A,0)),""))),G137&lt;&gt;F137),Scoring_Constants!$B$7,0))</f>
        <v/>
      </c>
      <c r="L137">
        <f>IF(OR(H137="",IFERROR(INDEX(Matches_2!$H:$H,MATCH(C137,Matches_2!$A:$A,0)),"")=""),0,IF(H137=IFERROR(INDEX(Matches_2!$H:$H,MATCH(C137,Matches_2!$A:$A,0)),""),Scoring_Constants!$B$8,0))</f>
        <v/>
      </c>
      <c r="M137">
        <f>SUM(I137:L137)</f>
        <v/>
      </c>
      <c r="O137" t="b">
        <v>0</v>
      </c>
    </row>
    <row r="138">
      <c r="A138" t="inlineStr">
        <is>
          <t>M005</t>
        </is>
      </c>
      <c r="B138">
        <f>IFERROR(INDEX(Managers!$B:$B,MATCH(A138,Managers!$A:$A,0)),"")</f>
        <v/>
      </c>
      <c r="C138" t="inlineStr">
        <is>
          <t>R32_13</t>
        </is>
      </c>
      <c r="D138">
        <f>IFERROR(INDEX(Matches_2!$B:$B,MATCH(C138,Matches_2!$A:$A,0)),"")</f>
        <v/>
      </c>
      <c r="I138">
        <f>IF(OR(E138="",IFERROR(INDEX(Matches_2!$F:$F,MATCH(C138,Matches_2!$A:$A,0)),"")=""),0,IF(E138=IFERROR(INDEX(Matches_2!$F:$F,MATCH(C138,Matches_2!$A:$A,0)),""),Scoring_Constants!$B$6,0))</f>
        <v/>
      </c>
      <c r="J138">
        <f>IF(OR(F138="",IFERROR(INDEX(Matches_2!$G:$G,MATCH(C138,Matches_2!$A:$A,0)),"")=""),0,IF(ISNUMBER(SEARCH(F138,IFERROR(INDEX(Matches_2!$G:$G,MATCH(C138,Matches_2!$A:$A,0)),""))),Scoring_Constants!$B$7,0))</f>
        <v/>
      </c>
      <c r="K138">
        <f>IF(OR(G138="",IFERROR(INDEX(Matches_2!$G:$G,MATCH(C138,Matches_2!$A:$A,0)),"")=""),0,IF(AND(ISNUMBER(SEARCH(G138,IFERROR(INDEX(Matches_2!$G:$G,MATCH(C138,Matches_2!$A:$A,0)),""))),G138&lt;&gt;F138),Scoring_Constants!$B$7,0))</f>
        <v/>
      </c>
      <c r="L138">
        <f>IF(OR(H138="",IFERROR(INDEX(Matches_2!$H:$H,MATCH(C138,Matches_2!$A:$A,0)),"")=""),0,IF(H138=IFERROR(INDEX(Matches_2!$H:$H,MATCH(C138,Matches_2!$A:$A,0)),""),Scoring_Constants!$B$8,0))</f>
        <v/>
      </c>
      <c r="M138">
        <f>SUM(I138:L138)</f>
        <v/>
      </c>
      <c r="O138" t="b">
        <v>0</v>
      </c>
    </row>
    <row r="139">
      <c r="A139" t="inlineStr">
        <is>
          <t>M005</t>
        </is>
      </c>
      <c r="B139">
        <f>IFERROR(INDEX(Managers!$B:$B,MATCH(A139,Managers!$A:$A,0)),"")</f>
        <v/>
      </c>
      <c r="C139" t="inlineStr">
        <is>
          <t>R32_14</t>
        </is>
      </c>
      <c r="D139">
        <f>IFERROR(INDEX(Matches_2!$B:$B,MATCH(C139,Matches_2!$A:$A,0)),"")</f>
        <v/>
      </c>
      <c r="I139">
        <f>IF(OR(E139="",IFERROR(INDEX(Matches_2!$F:$F,MATCH(C139,Matches_2!$A:$A,0)),"")=""),0,IF(E139=IFERROR(INDEX(Matches_2!$F:$F,MATCH(C139,Matches_2!$A:$A,0)),""),Scoring_Constants!$B$6,0))</f>
        <v/>
      </c>
      <c r="J139">
        <f>IF(OR(F139="",IFERROR(INDEX(Matches_2!$G:$G,MATCH(C139,Matches_2!$A:$A,0)),"")=""),0,IF(ISNUMBER(SEARCH(F139,IFERROR(INDEX(Matches_2!$G:$G,MATCH(C139,Matches_2!$A:$A,0)),""))),Scoring_Constants!$B$7,0))</f>
        <v/>
      </c>
      <c r="K139">
        <f>IF(OR(G139="",IFERROR(INDEX(Matches_2!$G:$G,MATCH(C139,Matches_2!$A:$A,0)),"")=""),0,IF(AND(ISNUMBER(SEARCH(G139,IFERROR(INDEX(Matches_2!$G:$G,MATCH(C139,Matches_2!$A:$A,0)),""))),G139&lt;&gt;F139),Scoring_Constants!$B$7,0))</f>
        <v/>
      </c>
      <c r="L139">
        <f>IF(OR(H139="",IFERROR(INDEX(Matches_2!$H:$H,MATCH(C139,Matches_2!$A:$A,0)),"")=""),0,IF(H139=IFERROR(INDEX(Matches_2!$H:$H,MATCH(C139,Matches_2!$A:$A,0)),""),Scoring_Constants!$B$8,0))</f>
        <v/>
      </c>
      <c r="M139">
        <f>SUM(I139:L139)</f>
        <v/>
      </c>
      <c r="O139" t="b">
        <v>0</v>
      </c>
    </row>
    <row r="140">
      <c r="A140" t="inlineStr">
        <is>
          <t>M005</t>
        </is>
      </c>
      <c r="B140">
        <f>IFERROR(INDEX(Managers!$B:$B,MATCH(A140,Managers!$A:$A,0)),"")</f>
        <v/>
      </c>
      <c r="C140" t="inlineStr">
        <is>
          <t>R32_15</t>
        </is>
      </c>
      <c r="D140">
        <f>IFERROR(INDEX(Matches_2!$B:$B,MATCH(C140,Matches_2!$A:$A,0)),"")</f>
        <v/>
      </c>
      <c r="I140">
        <f>IF(OR(E140="",IFERROR(INDEX(Matches_2!$F:$F,MATCH(C140,Matches_2!$A:$A,0)),"")=""),0,IF(E140=IFERROR(INDEX(Matches_2!$F:$F,MATCH(C140,Matches_2!$A:$A,0)),""),Scoring_Constants!$B$6,0))</f>
        <v/>
      </c>
      <c r="J140">
        <f>IF(OR(F140="",IFERROR(INDEX(Matches_2!$G:$G,MATCH(C140,Matches_2!$A:$A,0)),"")=""),0,IF(ISNUMBER(SEARCH(F140,IFERROR(INDEX(Matches_2!$G:$G,MATCH(C140,Matches_2!$A:$A,0)),""))),Scoring_Constants!$B$7,0))</f>
        <v/>
      </c>
      <c r="K140">
        <f>IF(OR(G140="",IFERROR(INDEX(Matches_2!$G:$G,MATCH(C140,Matches_2!$A:$A,0)),"")=""),0,IF(AND(ISNUMBER(SEARCH(G140,IFERROR(INDEX(Matches_2!$G:$G,MATCH(C140,Matches_2!$A:$A,0)),""))),G140&lt;&gt;F140),Scoring_Constants!$B$7,0))</f>
        <v/>
      </c>
      <c r="L140">
        <f>IF(OR(H140="",IFERROR(INDEX(Matches_2!$H:$H,MATCH(C140,Matches_2!$A:$A,0)),"")=""),0,IF(H140=IFERROR(INDEX(Matches_2!$H:$H,MATCH(C140,Matches_2!$A:$A,0)),""),Scoring_Constants!$B$8,0))</f>
        <v/>
      </c>
      <c r="M140">
        <f>SUM(I140:L140)</f>
        <v/>
      </c>
      <c r="O140" t="b">
        <v>0</v>
      </c>
    </row>
    <row r="141">
      <c r="A141" t="inlineStr">
        <is>
          <t>M005</t>
        </is>
      </c>
      <c r="B141">
        <f>IFERROR(INDEX(Managers!$B:$B,MATCH(A141,Managers!$A:$A,0)),"")</f>
        <v/>
      </c>
      <c r="C141" t="inlineStr">
        <is>
          <t>R32_16</t>
        </is>
      </c>
      <c r="D141">
        <f>IFERROR(INDEX(Matches_2!$B:$B,MATCH(C141,Matches_2!$A:$A,0)),"")</f>
        <v/>
      </c>
      <c r="I141">
        <f>IF(OR(E141="",IFERROR(INDEX(Matches_2!$F:$F,MATCH(C141,Matches_2!$A:$A,0)),"")=""),0,IF(E141=IFERROR(INDEX(Matches_2!$F:$F,MATCH(C141,Matches_2!$A:$A,0)),""),Scoring_Constants!$B$6,0))</f>
        <v/>
      </c>
      <c r="J141">
        <f>IF(OR(F141="",IFERROR(INDEX(Matches_2!$G:$G,MATCH(C141,Matches_2!$A:$A,0)),"")=""),0,IF(ISNUMBER(SEARCH(F141,IFERROR(INDEX(Matches_2!$G:$G,MATCH(C141,Matches_2!$A:$A,0)),""))),Scoring_Constants!$B$7,0))</f>
        <v/>
      </c>
      <c r="K141">
        <f>IF(OR(G141="",IFERROR(INDEX(Matches_2!$G:$G,MATCH(C141,Matches_2!$A:$A,0)),"")=""),0,IF(AND(ISNUMBER(SEARCH(G141,IFERROR(INDEX(Matches_2!$G:$G,MATCH(C141,Matches_2!$A:$A,0)),""))),G141&lt;&gt;F141),Scoring_Constants!$B$7,0))</f>
        <v/>
      </c>
      <c r="L141">
        <f>IF(OR(H141="",IFERROR(INDEX(Matches_2!$H:$H,MATCH(C141,Matches_2!$A:$A,0)),"")=""),0,IF(H141=IFERROR(INDEX(Matches_2!$H:$H,MATCH(C141,Matches_2!$A:$A,0)),""),Scoring_Constants!$B$8,0))</f>
        <v/>
      </c>
      <c r="M141">
        <f>SUM(I141:L141)</f>
        <v/>
      </c>
      <c r="O141" t="b">
        <v>0</v>
      </c>
    </row>
    <row r="142">
      <c r="A142" t="inlineStr">
        <is>
          <t>M005</t>
        </is>
      </c>
      <c r="B142">
        <f>IFERROR(INDEX(Managers!$B:$B,MATCH(A142,Managers!$A:$A,0)),"")</f>
        <v/>
      </c>
      <c r="C142" t="inlineStr">
        <is>
          <t>R16_01</t>
        </is>
      </c>
      <c r="D142">
        <f>IFERROR(INDEX(Matches_2!$B:$B,MATCH(C142,Matches_2!$A:$A,0)),"")</f>
        <v/>
      </c>
      <c r="I142">
        <f>IF(OR(E142="",IFERROR(INDEX(Matches_2!$F:$F,MATCH(C142,Matches_2!$A:$A,0)),"")=""),0,IF(E142=IFERROR(INDEX(Matches_2!$F:$F,MATCH(C142,Matches_2!$A:$A,0)),""),Scoring_Constants!$B$6,0))</f>
        <v/>
      </c>
      <c r="J142">
        <f>IF(OR(F142="",IFERROR(INDEX(Matches_2!$G:$G,MATCH(C142,Matches_2!$A:$A,0)),"")=""),0,IF(ISNUMBER(SEARCH(F142,IFERROR(INDEX(Matches_2!$G:$G,MATCH(C142,Matches_2!$A:$A,0)),""))),Scoring_Constants!$B$7,0))</f>
        <v/>
      </c>
      <c r="K142">
        <f>IF(OR(G142="",IFERROR(INDEX(Matches_2!$G:$G,MATCH(C142,Matches_2!$A:$A,0)),"")=""),0,IF(AND(ISNUMBER(SEARCH(G142,IFERROR(INDEX(Matches_2!$G:$G,MATCH(C142,Matches_2!$A:$A,0)),""))),G142&lt;&gt;F142),Scoring_Constants!$B$7,0))</f>
        <v/>
      </c>
      <c r="L142">
        <f>IF(OR(H142="",IFERROR(INDEX(Matches_2!$H:$H,MATCH(C142,Matches_2!$A:$A,0)),"")=""),0,IF(H142=IFERROR(INDEX(Matches_2!$H:$H,MATCH(C142,Matches_2!$A:$A,0)),""),Scoring_Constants!$B$8,0))</f>
        <v/>
      </c>
      <c r="M142">
        <f>SUM(I142:L142)</f>
        <v/>
      </c>
      <c r="O142" t="b">
        <v>0</v>
      </c>
    </row>
    <row r="143">
      <c r="A143" t="inlineStr">
        <is>
          <t>M005</t>
        </is>
      </c>
      <c r="B143">
        <f>IFERROR(INDEX(Managers!$B:$B,MATCH(A143,Managers!$A:$A,0)),"")</f>
        <v/>
      </c>
      <c r="C143" t="inlineStr">
        <is>
          <t>R16_02</t>
        </is>
      </c>
      <c r="D143">
        <f>IFERROR(INDEX(Matches_2!$B:$B,MATCH(C143,Matches_2!$A:$A,0)),"")</f>
        <v/>
      </c>
      <c r="I143">
        <f>IF(OR(E143="",IFERROR(INDEX(Matches_2!$F:$F,MATCH(C143,Matches_2!$A:$A,0)),"")=""),0,IF(E143=IFERROR(INDEX(Matches_2!$F:$F,MATCH(C143,Matches_2!$A:$A,0)),""),Scoring_Constants!$B$6,0))</f>
        <v/>
      </c>
      <c r="J143">
        <f>IF(OR(F143="",IFERROR(INDEX(Matches_2!$G:$G,MATCH(C143,Matches_2!$A:$A,0)),"")=""),0,IF(ISNUMBER(SEARCH(F143,IFERROR(INDEX(Matches_2!$G:$G,MATCH(C143,Matches_2!$A:$A,0)),""))),Scoring_Constants!$B$7,0))</f>
        <v/>
      </c>
      <c r="K143">
        <f>IF(OR(G143="",IFERROR(INDEX(Matches_2!$G:$G,MATCH(C143,Matches_2!$A:$A,0)),"")=""),0,IF(AND(ISNUMBER(SEARCH(G143,IFERROR(INDEX(Matches_2!$G:$G,MATCH(C143,Matches_2!$A:$A,0)),""))),G143&lt;&gt;F143),Scoring_Constants!$B$7,0))</f>
        <v/>
      </c>
      <c r="L143">
        <f>IF(OR(H143="",IFERROR(INDEX(Matches_2!$H:$H,MATCH(C143,Matches_2!$A:$A,0)),"")=""),0,IF(H143=IFERROR(INDEX(Matches_2!$H:$H,MATCH(C143,Matches_2!$A:$A,0)),""),Scoring_Constants!$B$8,0))</f>
        <v/>
      </c>
      <c r="M143">
        <f>SUM(I143:L143)</f>
        <v/>
      </c>
      <c r="O143" t="b">
        <v>0</v>
      </c>
    </row>
    <row r="144">
      <c r="A144" t="inlineStr">
        <is>
          <t>M005</t>
        </is>
      </c>
      <c r="B144">
        <f>IFERROR(INDEX(Managers!$B:$B,MATCH(A144,Managers!$A:$A,0)),"")</f>
        <v/>
      </c>
      <c r="C144" t="inlineStr">
        <is>
          <t>R16_03</t>
        </is>
      </c>
      <c r="D144">
        <f>IFERROR(INDEX(Matches_2!$B:$B,MATCH(C144,Matches_2!$A:$A,0)),"")</f>
        <v/>
      </c>
      <c r="I144">
        <f>IF(OR(E144="",IFERROR(INDEX(Matches_2!$F:$F,MATCH(C144,Matches_2!$A:$A,0)),"")=""),0,IF(E144=IFERROR(INDEX(Matches_2!$F:$F,MATCH(C144,Matches_2!$A:$A,0)),""),Scoring_Constants!$B$6,0))</f>
        <v/>
      </c>
      <c r="J144">
        <f>IF(OR(F144="",IFERROR(INDEX(Matches_2!$G:$G,MATCH(C144,Matches_2!$A:$A,0)),"")=""),0,IF(ISNUMBER(SEARCH(F144,IFERROR(INDEX(Matches_2!$G:$G,MATCH(C144,Matches_2!$A:$A,0)),""))),Scoring_Constants!$B$7,0))</f>
        <v/>
      </c>
      <c r="K144">
        <f>IF(OR(G144="",IFERROR(INDEX(Matches_2!$G:$G,MATCH(C144,Matches_2!$A:$A,0)),"")=""),0,IF(AND(ISNUMBER(SEARCH(G144,IFERROR(INDEX(Matches_2!$G:$G,MATCH(C144,Matches_2!$A:$A,0)),""))),G144&lt;&gt;F144),Scoring_Constants!$B$7,0))</f>
        <v/>
      </c>
      <c r="L144">
        <f>IF(OR(H144="",IFERROR(INDEX(Matches_2!$H:$H,MATCH(C144,Matches_2!$A:$A,0)),"")=""),0,IF(H144=IFERROR(INDEX(Matches_2!$H:$H,MATCH(C144,Matches_2!$A:$A,0)),""),Scoring_Constants!$B$8,0))</f>
        <v/>
      </c>
      <c r="M144">
        <f>SUM(I144:L144)</f>
        <v/>
      </c>
      <c r="O144" t="b">
        <v>0</v>
      </c>
    </row>
    <row r="145">
      <c r="A145" t="inlineStr">
        <is>
          <t>M005</t>
        </is>
      </c>
      <c r="B145">
        <f>IFERROR(INDEX(Managers!$B:$B,MATCH(A145,Managers!$A:$A,0)),"")</f>
        <v/>
      </c>
      <c r="C145" t="inlineStr">
        <is>
          <t>R16_04</t>
        </is>
      </c>
      <c r="D145">
        <f>IFERROR(INDEX(Matches_2!$B:$B,MATCH(C145,Matches_2!$A:$A,0)),"")</f>
        <v/>
      </c>
      <c r="I145">
        <f>IF(OR(E145="",IFERROR(INDEX(Matches_2!$F:$F,MATCH(C145,Matches_2!$A:$A,0)),"")=""),0,IF(E145=IFERROR(INDEX(Matches_2!$F:$F,MATCH(C145,Matches_2!$A:$A,0)),""),Scoring_Constants!$B$6,0))</f>
        <v/>
      </c>
      <c r="J145">
        <f>IF(OR(F145="",IFERROR(INDEX(Matches_2!$G:$G,MATCH(C145,Matches_2!$A:$A,0)),"")=""),0,IF(ISNUMBER(SEARCH(F145,IFERROR(INDEX(Matches_2!$G:$G,MATCH(C145,Matches_2!$A:$A,0)),""))),Scoring_Constants!$B$7,0))</f>
        <v/>
      </c>
      <c r="K145">
        <f>IF(OR(G145="",IFERROR(INDEX(Matches_2!$G:$G,MATCH(C145,Matches_2!$A:$A,0)),"")=""),0,IF(AND(ISNUMBER(SEARCH(G145,IFERROR(INDEX(Matches_2!$G:$G,MATCH(C145,Matches_2!$A:$A,0)),""))),G145&lt;&gt;F145),Scoring_Constants!$B$7,0))</f>
        <v/>
      </c>
      <c r="L145">
        <f>IF(OR(H145="",IFERROR(INDEX(Matches_2!$H:$H,MATCH(C145,Matches_2!$A:$A,0)),"")=""),0,IF(H145=IFERROR(INDEX(Matches_2!$H:$H,MATCH(C145,Matches_2!$A:$A,0)),""),Scoring_Constants!$B$8,0))</f>
        <v/>
      </c>
      <c r="M145">
        <f>SUM(I145:L145)</f>
        <v/>
      </c>
      <c r="O145" t="b">
        <v>0</v>
      </c>
    </row>
    <row r="146">
      <c r="A146" t="inlineStr">
        <is>
          <t>M005</t>
        </is>
      </c>
      <c r="B146">
        <f>IFERROR(INDEX(Managers!$B:$B,MATCH(A146,Managers!$A:$A,0)),"")</f>
        <v/>
      </c>
      <c r="C146" t="inlineStr">
        <is>
          <t>R16_05</t>
        </is>
      </c>
      <c r="D146">
        <f>IFERROR(INDEX(Matches_2!$B:$B,MATCH(C146,Matches_2!$A:$A,0)),"")</f>
        <v/>
      </c>
      <c r="I146">
        <f>IF(OR(E146="",IFERROR(INDEX(Matches_2!$F:$F,MATCH(C146,Matches_2!$A:$A,0)),"")=""),0,IF(E146=IFERROR(INDEX(Matches_2!$F:$F,MATCH(C146,Matches_2!$A:$A,0)),""),Scoring_Constants!$B$6,0))</f>
        <v/>
      </c>
      <c r="J146">
        <f>IF(OR(F146="",IFERROR(INDEX(Matches_2!$G:$G,MATCH(C146,Matches_2!$A:$A,0)),"")=""),0,IF(ISNUMBER(SEARCH(F146,IFERROR(INDEX(Matches_2!$G:$G,MATCH(C146,Matches_2!$A:$A,0)),""))),Scoring_Constants!$B$7,0))</f>
        <v/>
      </c>
      <c r="K146">
        <f>IF(OR(G146="",IFERROR(INDEX(Matches_2!$G:$G,MATCH(C146,Matches_2!$A:$A,0)),"")=""),0,IF(AND(ISNUMBER(SEARCH(G146,IFERROR(INDEX(Matches_2!$G:$G,MATCH(C146,Matches_2!$A:$A,0)),""))),G146&lt;&gt;F146),Scoring_Constants!$B$7,0))</f>
        <v/>
      </c>
      <c r="L146">
        <f>IF(OR(H146="",IFERROR(INDEX(Matches_2!$H:$H,MATCH(C146,Matches_2!$A:$A,0)),"")=""),0,IF(H146=IFERROR(INDEX(Matches_2!$H:$H,MATCH(C146,Matches_2!$A:$A,0)),""),Scoring_Constants!$B$8,0))</f>
        <v/>
      </c>
      <c r="M146">
        <f>SUM(I146:L146)</f>
        <v/>
      </c>
      <c r="O146" t="b">
        <v>0</v>
      </c>
    </row>
    <row r="147">
      <c r="A147" t="inlineStr">
        <is>
          <t>M005</t>
        </is>
      </c>
      <c r="B147">
        <f>IFERROR(INDEX(Managers!$B:$B,MATCH(A147,Managers!$A:$A,0)),"")</f>
        <v/>
      </c>
      <c r="C147" t="inlineStr">
        <is>
          <t>R16_06</t>
        </is>
      </c>
      <c r="D147">
        <f>IFERROR(INDEX(Matches_2!$B:$B,MATCH(C147,Matches_2!$A:$A,0)),"")</f>
        <v/>
      </c>
      <c r="I147">
        <f>IF(OR(E147="",IFERROR(INDEX(Matches_2!$F:$F,MATCH(C147,Matches_2!$A:$A,0)),"")=""),0,IF(E147=IFERROR(INDEX(Matches_2!$F:$F,MATCH(C147,Matches_2!$A:$A,0)),""),Scoring_Constants!$B$6,0))</f>
        <v/>
      </c>
      <c r="J147">
        <f>IF(OR(F147="",IFERROR(INDEX(Matches_2!$G:$G,MATCH(C147,Matches_2!$A:$A,0)),"")=""),0,IF(ISNUMBER(SEARCH(F147,IFERROR(INDEX(Matches_2!$G:$G,MATCH(C147,Matches_2!$A:$A,0)),""))),Scoring_Constants!$B$7,0))</f>
        <v/>
      </c>
      <c r="K147">
        <f>IF(OR(G147="",IFERROR(INDEX(Matches_2!$G:$G,MATCH(C147,Matches_2!$A:$A,0)),"")=""),0,IF(AND(ISNUMBER(SEARCH(G147,IFERROR(INDEX(Matches_2!$G:$G,MATCH(C147,Matches_2!$A:$A,0)),""))),G147&lt;&gt;F147),Scoring_Constants!$B$7,0))</f>
        <v/>
      </c>
      <c r="L147">
        <f>IF(OR(H147="",IFERROR(INDEX(Matches_2!$H:$H,MATCH(C147,Matches_2!$A:$A,0)),"")=""),0,IF(H147=IFERROR(INDEX(Matches_2!$H:$H,MATCH(C147,Matches_2!$A:$A,0)),""),Scoring_Constants!$B$8,0))</f>
        <v/>
      </c>
      <c r="M147">
        <f>SUM(I147:L147)</f>
        <v/>
      </c>
      <c r="O147" t="b">
        <v>0</v>
      </c>
    </row>
    <row r="148">
      <c r="A148" t="inlineStr">
        <is>
          <t>M005</t>
        </is>
      </c>
      <c r="B148">
        <f>IFERROR(INDEX(Managers!$B:$B,MATCH(A148,Managers!$A:$A,0)),"")</f>
        <v/>
      </c>
      <c r="C148" t="inlineStr">
        <is>
          <t>R16_07</t>
        </is>
      </c>
      <c r="D148">
        <f>IFERROR(INDEX(Matches_2!$B:$B,MATCH(C148,Matches_2!$A:$A,0)),"")</f>
        <v/>
      </c>
      <c r="I148">
        <f>IF(OR(E148="",IFERROR(INDEX(Matches_2!$F:$F,MATCH(C148,Matches_2!$A:$A,0)),"")=""),0,IF(E148=IFERROR(INDEX(Matches_2!$F:$F,MATCH(C148,Matches_2!$A:$A,0)),""),Scoring_Constants!$B$6,0))</f>
        <v/>
      </c>
      <c r="J148">
        <f>IF(OR(F148="",IFERROR(INDEX(Matches_2!$G:$G,MATCH(C148,Matches_2!$A:$A,0)),"")=""),0,IF(ISNUMBER(SEARCH(F148,IFERROR(INDEX(Matches_2!$G:$G,MATCH(C148,Matches_2!$A:$A,0)),""))),Scoring_Constants!$B$7,0))</f>
        <v/>
      </c>
      <c r="K148">
        <f>IF(OR(G148="",IFERROR(INDEX(Matches_2!$G:$G,MATCH(C148,Matches_2!$A:$A,0)),"")=""),0,IF(AND(ISNUMBER(SEARCH(G148,IFERROR(INDEX(Matches_2!$G:$G,MATCH(C148,Matches_2!$A:$A,0)),""))),G148&lt;&gt;F148),Scoring_Constants!$B$7,0))</f>
        <v/>
      </c>
      <c r="L148">
        <f>IF(OR(H148="",IFERROR(INDEX(Matches_2!$H:$H,MATCH(C148,Matches_2!$A:$A,0)),"")=""),0,IF(H148=IFERROR(INDEX(Matches_2!$H:$H,MATCH(C148,Matches_2!$A:$A,0)),""),Scoring_Constants!$B$8,0))</f>
        <v/>
      </c>
      <c r="M148">
        <f>SUM(I148:L148)</f>
        <v/>
      </c>
      <c r="O148" t="b">
        <v>0</v>
      </c>
    </row>
    <row r="149">
      <c r="A149" t="inlineStr">
        <is>
          <t>M005</t>
        </is>
      </c>
      <c r="B149">
        <f>IFERROR(INDEX(Managers!$B:$B,MATCH(A149,Managers!$A:$A,0)),"")</f>
        <v/>
      </c>
      <c r="C149" t="inlineStr">
        <is>
          <t>R16_08</t>
        </is>
      </c>
      <c r="D149">
        <f>IFERROR(INDEX(Matches_2!$B:$B,MATCH(C149,Matches_2!$A:$A,0)),"")</f>
        <v/>
      </c>
      <c r="I149">
        <f>IF(OR(E149="",IFERROR(INDEX(Matches_2!$F:$F,MATCH(C149,Matches_2!$A:$A,0)),"")=""),0,IF(E149=IFERROR(INDEX(Matches_2!$F:$F,MATCH(C149,Matches_2!$A:$A,0)),""),Scoring_Constants!$B$6,0))</f>
        <v/>
      </c>
      <c r="J149">
        <f>IF(OR(F149="",IFERROR(INDEX(Matches_2!$G:$G,MATCH(C149,Matches_2!$A:$A,0)),"")=""),0,IF(ISNUMBER(SEARCH(F149,IFERROR(INDEX(Matches_2!$G:$G,MATCH(C149,Matches_2!$A:$A,0)),""))),Scoring_Constants!$B$7,0))</f>
        <v/>
      </c>
      <c r="K149">
        <f>IF(OR(G149="",IFERROR(INDEX(Matches_2!$G:$G,MATCH(C149,Matches_2!$A:$A,0)),"")=""),0,IF(AND(ISNUMBER(SEARCH(G149,IFERROR(INDEX(Matches_2!$G:$G,MATCH(C149,Matches_2!$A:$A,0)),""))),G149&lt;&gt;F149),Scoring_Constants!$B$7,0))</f>
        <v/>
      </c>
      <c r="L149">
        <f>IF(OR(H149="",IFERROR(INDEX(Matches_2!$H:$H,MATCH(C149,Matches_2!$A:$A,0)),"")=""),0,IF(H149=IFERROR(INDEX(Matches_2!$H:$H,MATCH(C149,Matches_2!$A:$A,0)),""),Scoring_Constants!$B$8,0))</f>
        <v/>
      </c>
      <c r="M149">
        <f>SUM(I149:L149)</f>
        <v/>
      </c>
      <c r="O149" t="b">
        <v>0</v>
      </c>
    </row>
    <row r="150">
      <c r="A150" t="inlineStr">
        <is>
          <t>M005</t>
        </is>
      </c>
      <c r="B150">
        <f>IFERROR(INDEX(Managers!$B:$B,MATCH(A150,Managers!$A:$A,0)),"")</f>
        <v/>
      </c>
      <c r="C150" t="inlineStr">
        <is>
          <t>QF_01</t>
        </is>
      </c>
      <c r="D150">
        <f>IFERROR(INDEX(Matches_2!$B:$B,MATCH(C150,Matches_2!$A:$A,0)),"")</f>
        <v/>
      </c>
      <c r="I150">
        <f>IF(OR(E150="",IFERROR(INDEX(Matches_2!$F:$F,MATCH(C150,Matches_2!$A:$A,0)),"")=""),0,IF(E150=IFERROR(INDEX(Matches_2!$F:$F,MATCH(C150,Matches_2!$A:$A,0)),""),Scoring_Constants!$B$6,0))</f>
        <v/>
      </c>
      <c r="J150">
        <f>IF(OR(F150="",IFERROR(INDEX(Matches_2!$G:$G,MATCH(C150,Matches_2!$A:$A,0)),"")=""),0,IF(ISNUMBER(SEARCH(F150,IFERROR(INDEX(Matches_2!$G:$G,MATCH(C150,Matches_2!$A:$A,0)),""))),Scoring_Constants!$B$7,0))</f>
        <v/>
      </c>
      <c r="K150">
        <f>IF(OR(G150="",IFERROR(INDEX(Matches_2!$G:$G,MATCH(C150,Matches_2!$A:$A,0)),"")=""),0,IF(AND(ISNUMBER(SEARCH(G150,IFERROR(INDEX(Matches_2!$G:$G,MATCH(C150,Matches_2!$A:$A,0)),""))),G150&lt;&gt;F150),Scoring_Constants!$B$7,0))</f>
        <v/>
      </c>
      <c r="L150">
        <f>IF(OR(H150="",IFERROR(INDEX(Matches_2!$H:$H,MATCH(C150,Matches_2!$A:$A,0)),"")=""),0,IF(H150=IFERROR(INDEX(Matches_2!$H:$H,MATCH(C150,Matches_2!$A:$A,0)),""),Scoring_Constants!$B$8,0))</f>
        <v/>
      </c>
      <c r="M150">
        <f>SUM(I150:L150)</f>
        <v/>
      </c>
      <c r="O150" t="b">
        <v>0</v>
      </c>
    </row>
    <row r="151">
      <c r="A151" t="inlineStr">
        <is>
          <t>M005</t>
        </is>
      </c>
      <c r="B151">
        <f>IFERROR(INDEX(Managers!$B:$B,MATCH(A151,Managers!$A:$A,0)),"")</f>
        <v/>
      </c>
      <c r="C151" t="inlineStr">
        <is>
          <t>QF_02</t>
        </is>
      </c>
      <c r="D151">
        <f>IFERROR(INDEX(Matches_2!$B:$B,MATCH(C151,Matches_2!$A:$A,0)),"")</f>
        <v/>
      </c>
      <c r="I151">
        <f>IF(OR(E151="",IFERROR(INDEX(Matches_2!$F:$F,MATCH(C151,Matches_2!$A:$A,0)),"")=""),0,IF(E151=IFERROR(INDEX(Matches_2!$F:$F,MATCH(C151,Matches_2!$A:$A,0)),""),Scoring_Constants!$B$6,0))</f>
        <v/>
      </c>
      <c r="J151">
        <f>IF(OR(F151="",IFERROR(INDEX(Matches_2!$G:$G,MATCH(C151,Matches_2!$A:$A,0)),"")=""),0,IF(ISNUMBER(SEARCH(F151,IFERROR(INDEX(Matches_2!$G:$G,MATCH(C151,Matches_2!$A:$A,0)),""))),Scoring_Constants!$B$7,0))</f>
        <v/>
      </c>
      <c r="K151">
        <f>IF(OR(G151="",IFERROR(INDEX(Matches_2!$G:$G,MATCH(C151,Matches_2!$A:$A,0)),"")=""),0,IF(AND(ISNUMBER(SEARCH(G151,IFERROR(INDEX(Matches_2!$G:$G,MATCH(C151,Matches_2!$A:$A,0)),""))),G151&lt;&gt;F151),Scoring_Constants!$B$7,0))</f>
        <v/>
      </c>
      <c r="L151">
        <f>IF(OR(H151="",IFERROR(INDEX(Matches_2!$H:$H,MATCH(C151,Matches_2!$A:$A,0)),"")=""),0,IF(H151=IFERROR(INDEX(Matches_2!$H:$H,MATCH(C151,Matches_2!$A:$A,0)),""),Scoring_Constants!$B$8,0))</f>
        <v/>
      </c>
      <c r="M151">
        <f>SUM(I151:L151)</f>
        <v/>
      </c>
      <c r="O151" t="b">
        <v>0</v>
      </c>
    </row>
    <row r="152">
      <c r="A152" t="inlineStr">
        <is>
          <t>M005</t>
        </is>
      </c>
      <c r="B152">
        <f>IFERROR(INDEX(Managers!$B:$B,MATCH(A152,Managers!$A:$A,0)),"")</f>
        <v/>
      </c>
      <c r="C152" t="inlineStr">
        <is>
          <t>QF_03</t>
        </is>
      </c>
      <c r="D152">
        <f>IFERROR(INDEX(Matches_2!$B:$B,MATCH(C152,Matches_2!$A:$A,0)),"")</f>
        <v/>
      </c>
      <c r="I152">
        <f>IF(OR(E152="",IFERROR(INDEX(Matches_2!$F:$F,MATCH(C152,Matches_2!$A:$A,0)),"")=""),0,IF(E152=IFERROR(INDEX(Matches_2!$F:$F,MATCH(C152,Matches_2!$A:$A,0)),""),Scoring_Constants!$B$6,0))</f>
        <v/>
      </c>
      <c r="J152">
        <f>IF(OR(F152="",IFERROR(INDEX(Matches_2!$G:$G,MATCH(C152,Matches_2!$A:$A,0)),"")=""),0,IF(ISNUMBER(SEARCH(F152,IFERROR(INDEX(Matches_2!$G:$G,MATCH(C152,Matches_2!$A:$A,0)),""))),Scoring_Constants!$B$7,0))</f>
        <v/>
      </c>
      <c r="K152">
        <f>IF(OR(G152="",IFERROR(INDEX(Matches_2!$G:$G,MATCH(C152,Matches_2!$A:$A,0)),"")=""),0,IF(AND(ISNUMBER(SEARCH(G152,IFERROR(INDEX(Matches_2!$G:$G,MATCH(C152,Matches_2!$A:$A,0)),""))),G152&lt;&gt;F152),Scoring_Constants!$B$7,0))</f>
        <v/>
      </c>
      <c r="L152">
        <f>IF(OR(H152="",IFERROR(INDEX(Matches_2!$H:$H,MATCH(C152,Matches_2!$A:$A,0)),"")=""),0,IF(H152=IFERROR(INDEX(Matches_2!$H:$H,MATCH(C152,Matches_2!$A:$A,0)),""),Scoring_Constants!$B$8,0))</f>
        <v/>
      </c>
      <c r="M152">
        <f>SUM(I152:L152)</f>
        <v/>
      </c>
      <c r="O152" t="b">
        <v>0</v>
      </c>
    </row>
    <row r="153">
      <c r="A153" t="inlineStr">
        <is>
          <t>M005</t>
        </is>
      </c>
      <c r="B153">
        <f>IFERROR(INDEX(Managers!$B:$B,MATCH(A153,Managers!$A:$A,0)),"")</f>
        <v/>
      </c>
      <c r="C153" t="inlineStr">
        <is>
          <t>QF_04</t>
        </is>
      </c>
      <c r="D153">
        <f>IFERROR(INDEX(Matches_2!$B:$B,MATCH(C153,Matches_2!$A:$A,0)),"")</f>
        <v/>
      </c>
      <c r="I153">
        <f>IF(OR(E153="",IFERROR(INDEX(Matches_2!$F:$F,MATCH(C153,Matches_2!$A:$A,0)),"")=""),0,IF(E153=IFERROR(INDEX(Matches_2!$F:$F,MATCH(C153,Matches_2!$A:$A,0)),""),Scoring_Constants!$B$6,0))</f>
        <v/>
      </c>
      <c r="J153">
        <f>IF(OR(F153="",IFERROR(INDEX(Matches_2!$G:$G,MATCH(C153,Matches_2!$A:$A,0)),"")=""),0,IF(ISNUMBER(SEARCH(F153,IFERROR(INDEX(Matches_2!$G:$G,MATCH(C153,Matches_2!$A:$A,0)),""))),Scoring_Constants!$B$7,0))</f>
        <v/>
      </c>
      <c r="K153">
        <f>IF(OR(G153="",IFERROR(INDEX(Matches_2!$G:$G,MATCH(C153,Matches_2!$A:$A,0)),"")=""),0,IF(AND(ISNUMBER(SEARCH(G153,IFERROR(INDEX(Matches_2!$G:$G,MATCH(C153,Matches_2!$A:$A,0)),""))),G153&lt;&gt;F153),Scoring_Constants!$B$7,0))</f>
        <v/>
      </c>
      <c r="L153">
        <f>IF(OR(H153="",IFERROR(INDEX(Matches_2!$H:$H,MATCH(C153,Matches_2!$A:$A,0)),"")=""),0,IF(H153=IFERROR(INDEX(Matches_2!$H:$H,MATCH(C153,Matches_2!$A:$A,0)),""),Scoring_Constants!$B$8,0))</f>
        <v/>
      </c>
      <c r="M153">
        <f>SUM(I153:L153)</f>
        <v/>
      </c>
      <c r="O153" t="b">
        <v>0</v>
      </c>
    </row>
    <row r="154">
      <c r="A154" t="inlineStr">
        <is>
          <t>M005</t>
        </is>
      </c>
      <c r="B154">
        <f>IFERROR(INDEX(Managers!$B:$B,MATCH(A154,Managers!$A:$A,0)),"")</f>
        <v/>
      </c>
      <c r="C154" t="inlineStr">
        <is>
          <t>SF_01</t>
        </is>
      </c>
      <c r="D154">
        <f>IFERROR(INDEX(Matches_2!$B:$B,MATCH(C154,Matches_2!$A:$A,0)),"")</f>
        <v/>
      </c>
      <c r="I154">
        <f>IF(OR(E154="",IFERROR(INDEX(Matches_2!$F:$F,MATCH(C154,Matches_2!$A:$A,0)),"")=""),0,IF(E154=IFERROR(INDEX(Matches_2!$F:$F,MATCH(C154,Matches_2!$A:$A,0)),""),Scoring_Constants!$B$6,0))</f>
        <v/>
      </c>
      <c r="J154">
        <f>IF(OR(F154="",IFERROR(INDEX(Matches_2!$G:$G,MATCH(C154,Matches_2!$A:$A,0)),"")=""),0,IF(ISNUMBER(SEARCH(F154,IFERROR(INDEX(Matches_2!$G:$G,MATCH(C154,Matches_2!$A:$A,0)),""))),Scoring_Constants!$B$7,0))</f>
        <v/>
      </c>
      <c r="K154">
        <f>IF(OR(G154="",IFERROR(INDEX(Matches_2!$G:$G,MATCH(C154,Matches_2!$A:$A,0)),"")=""),0,IF(AND(ISNUMBER(SEARCH(G154,IFERROR(INDEX(Matches_2!$G:$G,MATCH(C154,Matches_2!$A:$A,0)),""))),G154&lt;&gt;F154),Scoring_Constants!$B$7,0))</f>
        <v/>
      </c>
      <c r="L154">
        <f>IF(OR(H154="",IFERROR(INDEX(Matches_2!$H:$H,MATCH(C154,Matches_2!$A:$A,0)),"")=""),0,IF(H154=IFERROR(INDEX(Matches_2!$H:$H,MATCH(C154,Matches_2!$A:$A,0)),""),Scoring_Constants!$B$8,0))</f>
        <v/>
      </c>
      <c r="M154">
        <f>SUM(I154:L154)</f>
        <v/>
      </c>
      <c r="O154" t="b">
        <v>0</v>
      </c>
    </row>
    <row r="155">
      <c r="A155" t="inlineStr">
        <is>
          <t>M005</t>
        </is>
      </c>
      <c r="B155">
        <f>IFERROR(INDEX(Managers!$B:$B,MATCH(A155,Managers!$A:$A,0)),"")</f>
        <v/>
      </c>
      <c r="C155" t="inlineStr">
        <is>
          <t>SF_02</t>
        </is>
      </c>
      <c r="D155">
        <f>IFERROR(INDEX(Matches_2!$B:$B,MATCH(C155,Matches_2!$A:$A,0)),"")</f>
        <v/>
      </c>
      <c r="I155">
        <f>IF(OR(E155="",IFERROR(INDEX(Matches_2!$F:$F,MATCH(C155,Matches_2!$A:$A,0)),"")=""),0,IF(E155=IFERROR(INDEX(Matches_2!$F:$F,MATCH(C155,Matches_2!$A:$A,0)),""),Scoring_Constants!$B$6,0))</f>
        <v/>
      </c>
      <c r="J155">
        <f>IF(OR(F155="",IFERROR(INDEX(Matches_2!$G:$G,MATCH(C155,Matches_2!$A:$A,0)),"")=""),0,IF(ISNUMBER(SEARCH(F155,IFERROR(INDEX(Matches_2!$G:$G,MATCH(C155,Matches_2!$A:$A,0)),""))),Scoring_Constants!$B$7,0))</f>
        <v/>
      </c>
      <c r="K155">
        <f>IF(OR(G155="",IFERROR(INDEX(Matches_2!$G:$G,MATCH(C155,Matches_2!$A:$A,0)),"")=""),0,IF(AND(ISNUMBER(SEARCH(G155,IFERROR(INDEX(Matches_2!$G:$G,MATCH(C155,Matches_2!$A:$A,0)),""))),G155&lt;&gt;F155),Scoring_Constants!$B$7,0))</f>
        <v/>
      </c>
      <c r="L155">
        <f>IF(OR(H155="",IFERROR(INDEX(Matches_2!$H:$H,MATCH(C155,Matches_2!$A:$A,0)),"")=""),0,IF(H155=IFERROR(INDEX(Matches_2!$H:$H,MATCH(C155,Matches_2!$A:$A,0)),""),Scoring_Constants!$B$8,0))</f>
        <v/>
      </c>
      <c r="M155">
        <f>SUM(I155:L155)</f>
        <v/>
      </c>
      <c r="O155" t="b">
        <v>0</v>
      </c>
    </row>
    <row r="156">
      <c r="A156" t="inlineStr">
        <is>
          <t>M005</t>
        </is>
      </c>
      <c r="B156">
        <f>IFERROR(INDEX(Managers!$B:$B,MATCH(A156,Managers!$A:$A,0)),"")</f>
        <v/>
      </c>
      <c r="C156" t="inlineStr">
        <is>
          <t>F_01</t>
        </is>
      </c>
      <c r="D156">
        <f>IFERROR(INDEX(Matches_2!$B:$B,MATCH(C156,Matches_2!$A:$A,0)),"")</f>
        <v/>
      </c>
      <c r="I156">
        <f>IF(OR(E156="",IFERROR(INDEX(Matches_2!$F:$F,MATCH(C156,Matches_2!$A:$A,0)),"")=""),0,IF(E156=IFERROR(INDEX(Matches_2!$F:$F,MATCH(C156,Matches_2!$A:$A,0)),""),Scoring_Constants!$B$6,0))</f>
        <v/>
      </c>
      <c r="J156">
        <f>IF(OR(F156="",IFERROR(INDEX(Matches_2!$G:$G,MATCH(C156,Matches_2!$A:$A,0)),"")=""),0,IF(ISNUMBER(SEARCH(F156,IFERROR(INDEX(Matches_2!$G:$G,MATCH(C156,Matches_2!$A:$A,0)),""))),Scoring_Constants!$B$7,0))</f>
        <v/>
      </c>
      <c r="K156">
        <f>IF(OR(G156="",IFERROR(INDEX(Matches_2!$G:$G,MATCH(C156,Matches_2!$A:$A,0)),"")=""),0,IF(AND(ISNUMBER(SEARCH(G156,IFERROR(INDEX(Matches_2!$G:$G,MATCH(C156,Matches_2!$A:$A,0)),""))),G156&lt;&gt;F156),Scoring_Constants!$B$7,0))</f>
        <v/>
      </c>
      <c r="L156">
        <f>IF(OR(H156="",IFERROR(INDEX(Matches_2!$H:$H,MATCH(C156,Matches_2!$A:$A,0)),"")=""),0,IF(H156=IFERROR(INDEX(Matches_2!$H:$H,MATCH(C156,Matches_2!$A:$A,0)),""),Scoring_Constants!$B$8,0))</f>
        <v/>
      </c>
      <c r="M156">
        <f>SUM(I156:L156)</f>
        <v/>
      </c>
      <c r="O156" t="b">
        <v>0</v>
      </c>
    </row>
    <row r="157">
      <c r="A157" t="inlineStr">
        <is>
          <t>M006</t>
        </is>
      </c>
      <c r="B157">
        <f>IFERROR(INDEX(Managers!$B:$B,MATCH(A157,Managers!$A:$A,0)),"")</f>
        <v/>
      </c>
      <c r="C157" t="inlineStr">
        <is>
          <t>R32_01</t>
        </is>
      </c>
      <c r="D157">
        <f>IFERROR(INDEX(Matches_2!$B:$B,MATCH(C157,Matches_2!$A:$A,0)),"")</f>
        <v/>
      </c>
      <c r="I157">
        <f>IF(OR(E157="",IFERROR(INDEX(Matches_2!$F:$F,MATCH(C157,Matches_2!$A:$A,0)),"")=""),0,IF(E157=IFERROR(INDEX(Matches_2!$F:$F,MATCH(C157,Matches_2!$A:$A,0)),""),Scoring_Constants!$B$6,0))</f>
        <v/>
      </c>
      <c r="J157">
        <f>IF(OR(F157="",IFERROR(INDEX(Matches_2!$G:$G,MATCH(C157,Matches_2!$A:$A,0)),"")=""),0,IF(ISNUMBER(SEARCH(F157,IFERROR(INDEX(Matches_2!$G:$G,MATCH(C157,Matches_2!$A:$A,0)),""))),Scoring_Constants!$B$7,0))</f>
        <v/>
      </c>
      <c r="K157">
        <f>IF(OR(G157="",IFERROR(INDEX(Matches_2!$G:$G,MATCH(C157,Matches_2!$A:$A,0)),"")=""),0,IF(AND(ISNUMBER(SEARCH(G157,IFERROR(INDEX(Matches_2!$G:$G,MATCH(C157,Matches_2!$A:$A,0)),""))),G157&lt;&gt;F157),Scoring_Constants!$B$7,0))</f>
        <v/>
      </c>
      <c r="L157">
        <f>IF(OR(H157="",IFERROR(INDEX(Matches_2!$H:$H,MATCH(C157,Matches_2!$A:$A,0)),"")=""),0,IF(H157=IFERROR(INDEX(Matches_2!$H:$H,MATCH(C157,Matches_2!$A:$A,0)),""),Scoring_Constants!$B$8,0))</f>
        <v/>
      </c>
      <c r="M157">
        <f>SUM(I157:L157)</f>
        <v/>
      </c>
      <c r="O157" t="b">
        <v>0</v>
      </c>
    </row>
    <row r="158">
      <c r="A158" t="inlineStr">
        <is>
          <t>M006</t>
        </is>
      </c>
      <c r="B158">
        <f>IFERROR(INDEX(Managers!$B:$B,MATCH(A158,Managers!$A:$A,0)),"")</f>
        <v/>
      </c>
      <c r="C158" t="inlineStr">
        <is>
          <t>R32_02</t>
        </is>
      </c>
      <c r="D158">
        <f>IFERROR(INDEX(Matches_2!$B:$B,MATCH(C158,Matches_2!$A:$A,0)),"")</f>
        <v/>
      </c>
      <c r="I158">
        <f>IF(OR(E158="",IFERROR(INDEX(Matches_2!$F:$F,MATCH(C158,Matches_2!$A:$A,0)),"")=""),0,IF(E158=IFERROR(INDEX(Matches_2!$F:$F,MATCH(C158,Matches_2!$A:$A,0)),""),Scoring_Constants!$B$6,0))</f>
        <v/>
      </c>
      <c r="J158">
        <f>IF(OR(F158="",IFERROR(INDEX(Matches_2!$G:$G,MATCH(C158,Matches_2!$A:$A,0)),"")=""),0,IF(ISNUMBER(SEARCH(F158,IFERROR(INDEX(Matches_2!$G:$G,MATCH(C158,Matches_2!$A:$A,0)),""))),Scoring_Constants!$B$7,0))</f>
        <v/>
      </c>
      <c r="K158">
        <f>IF(OR(G158="",IFERROR(INDEX(Matches_2!$G:$G,MATCH(C158,Matches_2!$A:$A,0)),"")=""),0,IF(AND(ISNUMBER(SEARCH(G158,IFERROR(INDEX(Matches_2!$G:$G,MATCH(C158,Matches_2!$A:$A,0)),""))),G158&lt;&gt;F158),Scoring_Constants!$B$7,0))</f>
        <v/>
      </c>
      <c r="L158">
        <f>IF(OR(H158="",IFERROR(INDEX(Matches_2!$H:$H,MATCH(C158,Matches_2!$A:$A,0)),"")=""),0,IF(H158=IFERROR(INDEX(Matches_2!$H:$H,MATCH(C158,Matches_2!$A:$A,0)),""),Scoring_Constants!$B$8,0))</f>
        <v/>
      </c>
      <c r="M158">
        <f>SUM(I158:L158)</f>
        <v/>
      </c>
      <c r="O158" t="b">
        <v>0</v>
      </c>
    </row>
    <row r="159">
      <c r="A159" t="inlineStr">
        <is>
          <t>M006</t>
        </is>
      </c>
      <c r="B159">
        <f>IFERROR(INDEX(Managers!$B:$B,MATCH(A159,Managers!$A:$A,0)),"")</f>
        <v/>
      </c>
      <c r="C159" t="inlineStr">
        <is>
          <t>R32_03</t>
        </is>
      </c>
      <c r="D159">
        <f>IFERROR(INDEX(Matches_2!$B:$B,MATCH(C159,Matches_2!$A:$A,0)),"")</f>
        <v/>
      </c>
      <c r="I159">
        <f>IF(OR(E159="",IFERROR(INDEX(Matches_2!$F:$F,MATCH(C159,Matches_2!$A:$A,0)),"")=""),0,IF(E159=IFERROR(INDEX(Matches_2!$F:$F,MATCH(C159,Matches_2!$A:$A,0)),""),Scoring_Constants!$B$6,0))</f>
        <v/>
      </c>
      <c r="J159">
        <f>IF(OR(F159="",IFERROR(INDEX(Matches_2!$G:$G,MATCH(C159,Matches_2!$A:$A,0)),"")=""),0,IF(ISNUMBER(SEARCH(F159,IFERROR(INDEX(Matches_2!$G:$G,MATCH(C159,Matches_2!$A:$A,0)),""))),Scoring_Constants!$B$7,0))</f>
        <v/>
      </c>
      <c r="K159">
        <f>IF(OR(G159="",IFERROR(INDEX(Matches_2!$G:$G,MATCH(C159,Matches_2!$A:$A,0)),"")=""),0,IF(AND(ISNUMBER(SEARCH(G159,IFERROR(INDEX(Matches_2!$G:$G,MATCH(C159,Matches_2!$A:$A,0)),""))),G159&lt;&gt;F159),Scoring_Constants!$B$7,0))</f>
        <v/>
      </c>
      <c r="L159">
        <f>IF(OR(H159="",IFERROR(INDEX(Matches_2!$H:$H,MATCH(C159,Matches_2!$A:$A,0)),"")=""),0,IF(H159=IFERROR(INDEX(Matches_2!$H:$H,MATCH(C159,Matches_2!$A:$A,0)),""),Scoring_Constants!$B$8,0))</f>
        <v/>
      </c>
      <c r="M159">
        <f>SUM(I159:L159)</f>
        <v/>
      </c>
      <c r="O159" t="b">
        <v>0</v>
      </c>
    </row>
    <row r="160">
      <c r="A160" t="inlineStr">
        <is>
          <t>M006</t>
        </is>
      </c>
      <c r="B160">
        <f>IFERROR(INDEX(Managers!$B:$B,MATCH(A160,Managers!$A:$A,0)),"")</f>
        <v/>
      </c>
      <c r="C160" t="inlineStr">
        <is>
          <t>R32_04</t>
        </is>
      </c>
      <c r="D160">
        <f>IFERROR(INDEX(Matches_2!$B:$B,MATCH(C160,Matches_2!$A:$A,0)),"")</f>
        <v/>
      </c>
      <c r="I160">
        <f>IF(OR(E160="",IFERROR(INDEX(Matches_2!$F:$F,MATCH(C160,Matches_2!$A:$A,0)),"")=""),0,IF(E160=IFERROR(INDEX(Matches_2!$F:$F,MATCH(C160,Matches_2!$A:$A,0)),""),Scoring_Constants!$B$6,0))</f>
        <v/>
      </c>
      <c r="J160">
        <f>IF(OR(F160="",IFERROR(INDEX(Matches_2!$G:$G,MATCH(C160,Matches_2!$A:$A,0)),"")=""),0,IF(ISNUMBER(SEARCH(F160,IFERROR(INDEX(Matches_2!$G:$G,MATCH(C160,Matches_2!$A:$A,0)),""))),Scoring_Constants!$B$7,0))</f>
        <v/>
      </c>
      <c r="K160">
        <f>IF(OR(G160="",IFERROR(INDEX(Matches_2!$G:$G,MATCH(C160,Matches_2!$A:$A,0)),"")=""),0,IF(AND(ISNUMBER(SEARCH(G160,IFERROR(INDEX(Matches_2!$G:$G,MATCH(C160,Matches_2!$A:$A,0)),""))),G160&lt;&gt;F160),Scoring_Constants!$B$7,0))</f>
        <v/>
      </c>
      <c r="L160">
        <f>IF(OR(H160="",IFERROR(INDEX(Matches_2!$H:$H,MATCH(C160,Matches_2!$A:$A,0)),"")=""),0,IF(H160=IFERROR(INDEX(Matches_2!$H:$H,MATCH(C160,Matches_2!$A:$A,0)),""),Scoring_Constants!$B$8,0))</f>
        <v/>
      </c>
      <c r="M160">
        <f>SUM(I160:L160)</f>
        <v/>
      </c>
      <c r="O160" t="b">
        <v>0</v>
      </c>
    </row>
    <row r="161">
      <c r="A161" t="inlineStr">
        <is>
          <t>M006</t>
        </is>
      </c>
      <c r="B161">
        <f>IFERROR(INDEX(Managers!$B:$B,MATCH(A161,Managers!$A:$A,0)),"")</f>
        <v/>
      </c>
      <c r="C161" t="inlineStr">
        <is>
          <t>R32_05</t>
        </is>
      </c>
      <c r="D161">
        <f>IFERROR(INDEX(Matches_2!$B:$B,MATCH(C161,Matches_2!$A:$A,0)),"")</f>
        <v/>
      </c>
      <c r="I161">
        <f>IF(OR(E161="",IFERROR(INDEX(Matches_2!$F:$F,MATCH(C161,Matches_2!$A:$A,0)),"")=""),0,IF(E161=IFERROR(INDEX(Matches_2!$F:$F,MATCH(C161,Matches_2!$A:$A,0)),""),Scoring_Constants!$B$6,0))</f>
        <v/>
      </c>
      <c r="J161">
        <f>IF(OR(F161="",IFERROR(INDEX(Matches_2!$G:$G,MATCH(C161,Matches_2!$A:$A,0)),"")=""),0,IF(ISNUMBER(SEARCH(F161,IFERROR(INDEX(Matches_2!$G:$G,MATCH(C161,Matches_2!$A:$A,0)),""))),Scoring_Constants!$B$7,0))</f>
        <v/>
      </c>
      <c r="K161">
        <f>IF(OR(G161="",IFERROR(INDEX(Matches_2!$G:$G,MATCH(C161,Matches_2!$A:$A,0)),"")=""),0,IF(AND(ISNUMBER(SEARCH(G161,IFERROR(INDEX(Matches_2!$G:$G,MATCH(C161,Matches_2!$A:$A,0)),""))),G161&lt;&gt;F161),Scoring_Constants!$B$7,0))</f>
        <v/>
      </c>
      <c r="L161">
        <f>IF(OR(H161="",IFERROR(INDEX(Matches_2!$H:$H,MATCH(C161,Matches_2!$A:$A,0)),"")=""),0,IF(H161=IFERROR(INDEX(Matches_2!$H:$H,MATCH(C161,Matches_2!$A:$A,0)),""),Scoring_Constants!$B$8,0))</f>
        <v/>
      </c>
      <c r="M161">
        <f>SUM(I161:L161)</f>
        <v/>
      </c>
      <c r="O161" t="b">
        <v>0</v>
      </c>
    </row>
    <row r="162">
      <c r="A162" t="inlineStr">
        <is>
          <t>M006</t>
        </is>
      </c>
      <c r="B162">
        <f>IFERROR(INDEX(Managers!$B:$B,MATCH(A162,Managers!$A:$A,0)),"")</f>
        <v/>
      </c>
      <c r="C162" t="inlineStr">
        <is>
          <t>R32_06</t>
        </is>
      </c>
      <c r="D162">
        <f>IFERROR(INDEX(Matches_2!$B:$B,MATCH(C162,Matches_2!$A:$A,0)),"")</f>
        <v/>
      </c>
      <c r="I162">
        <f>IF(OR(E162="",IFERROR(INDEX(Matches_2!$F:$F,MATCH(C162,Matches_2!$A:$A,0)),"")=""),0,IF(E162=IFERROR(INDEX(Matches_2!$F:$F,MATCH(C162,Matches_2!$A:$A,0)),""),Scoring_Constants!$B$6,0))</f>
        <v/>
      </c>
      <c r="J162">
        <f>IF(OR(F162="",IFERROR(INDEX(Matches_2!$G:$G,MATCH(C162,Matches_2!$A:$A,0)),"")=""),0,IF(ISNUMBER(SEARCH(F162,IFERROR(INDEX(Matches_2!$G:$G,MATCH(C162,Matches_2!$A:$A,0)),""))),Scoring_Constants!$B$7,0))</f>
        <v/>
      </c>
      <c r="K162">
        <f>IF(OR(G162="",IFERROR(INDEX(Matches_2!$G:$G,MATCH(C162,Matches_2!$A:$A,0)),"")=""),0,IF(AND(ISNUMBER(SEARCH(G162,IFERROR(INDEX(Matches_2!$G:$G,MATCH(C162,Matches_2!$A:$A,0)),""))),G162&lt;&gt;F162),Scoring_Constants!$B$7,0))</f>
        <v/>
      </c>
      <c r="L162">
        <f>IF(OR(H162="",IFERROR(INDEX(Matches_2!$H:$H,MATCH(C162,Matches_2!$A:$A,0)),"")=""),0,IF(H162=IFERROR(INDEX(Matches_2!$H:$H,MATCH(C162,Matches_2!$A:$A,0)),""),Scoring_Constants!$B$8,0))</f>
        <v/>
      </c>
      <c r="M162">
        <f>SUM(I162:L162)</f>
        <v/>
      </c>
      <c r="O162" t="b">
        <v>0</v>
      </c>
    </row>
    <row r="163">
      <c r="A163" t="inlineStr">
        <is>
          <t>M006</t>
        </is>
      </c>
      <c r="B163">
        <f>IFERROR(INDEX(Managers!$B:$B,MATCH(A163,Managers!$A:$A,0)),"")</f>
        <v/>
      </c>
      <c r="C163" t="inlineStr">
        <is>
          <t>R32_07</t>
        </is>
      </c>
      <c r="D163">
        <f>IFERROR(INDEX(Matches_2!$B:$B,MATCH(C163,Matches_2!$A:$A,0)),"")</f>
        <v/>
      </c>
      <c r="I163">
        <f>IF(OR(E163="",IFERROR(INDEX(Matches_2!$F:$F,MATCH(C163,Matches_2!$A:$A,0)),"")=""),0,IF(E163=IFERROR(INDEX(Matches_2!$F:$F,MATCH(C163,Matches_2!$A:$A,0)),""),Scoring_Constants!$B$6,0))</f>
        <v/>
      </c>
      <c r="J163">
        <f>IF(OR(F163="",IFERROR(INDEX(Matches_2!$G:$G,MATCH(C163,Matches_2!$A:$A,0)),"")=""),0,IF(ISNUMBER(SEARCH(F163,IFERROR(INDEX(Matches_2!$G:$G,MATCH(C163,Matches_2!$A:$A,0)),""))),Scoring_Constants!$B$7,0))</f>
        <v/>
      </c>
      <c r="K163">
        <f>IF(OR(G163="",IFERROR(INDEX(Matches_2!$G:$G,MATCH(C163,Matches_2!$A:$A,0)),"")=""),0,IF(AND(ISNUMBER(SEARCH(G163,IFERROR(INDEX(Matches_2!$G:$G,MATCH(C163,Matches_2!$A:$A,0)),""))),G163&lt;&gt;F163),Scoring_Constants!$B$7,0))</f>
        <v/>
      </c>
      <c r="L163">
        <f>IF(OR(H163="",IFERROR(INDEX(Matches_2!$H:$H,MATCH(C163,Matches_2!$A:$A,0)),"")=""),0,IF(H163=IFERROR(INDEX(Matches_2!$H:$H,MATCH(C163,Matches_2!$A:$A,0)),""),Scoring_Constants!$B$8,0))</f>
        <v/>
      </c>
      <c r="M163">
        <f>SUM(I163:L163)</f>
        <v/>
      </c>
      <c r="O163" t="b">
        <v>0</v>
      </c>
    </row>
    <row r="164">
      <c r="A164" t="inlineStr">
        <is>
          <t>M006</t>
        </is>
      </c>
      <c r="B164">
        <f>IFERROR(INDEX(Managers!$B:$B,MATCH(A164,Managers!$A:$A,0)),"")</f>
        <v/>
      </c>
      <c r="C164" t="inlineStr">
        <is>
          <t>R32_08</t>
        </is>
      </c>
      <c r="D164">
        <f>IFERROR(INDEX(Matches_2!$B:$B,MATCH(C164,Matches_2!$A:$A,0)),"")</f>
        <v/>
      </c>
      <c r="I164">
        <f>IF(OR(E164="",IFERROR(INDEX(Matches_2!$F:$F,MATCH(C164,Matches_2!$A:$A,0)),"")=""),0,IF(E164=IFERROR(INDEX(Matches_2!$F:$F,MATCH(C164,Matches_2!$A:$A,0)),""),Scoring_Constants!$B$6,0))</f>
        <v/>
      </c>
      <c r="J164">
        <f>IF(OR(F164="",IFERROR(INDEX(Matches_2!$G:$G,MATCH(C164,Matches_2!$A:$A,0)),"")=""),0,IF(ISNUMBER(SEARCH(F164,IFERROR(INDEX(Matches_2!$G:$G,MATCH(C164,Matches_2!$A:$A,0)),""))),Scoring_Constants!$B$7,0))</f>
        <v/>
      </c>
      <c r="K164">
        <f>IF(OR(G164="",IFERROR(INDEX(Matches_2!$G:$G,MATCH(C164,Matches_2!$A:$A,0)),"")=""),0,IF(AND(ISNUMBER(SEARCH(G164,IFERROR(INDEX(Matches_2!$G:$G,MATCH(C164,Matches_2!$A:$A,0)),""))),G164&lt;&gt;F164),Scoring_Constants!$B$7,0))</f>
        <v/>
      </c>
      <c r="L164">
        <f>IF(OR(H164="",IFERROR(INDEX(Matches_2!$H:$H,MATCH(C164,Matches_2!$A:$A,0)),"")=""),0,IF(H164=IFERROR(INDEX(Matches_2!$H:$H,MATCH(C164,Matches_2!$A:$A,0)),""),Scoring_Constants!$B$8,0))</f>
        <v/>
      </c>
      <c r="M164">
        <f>SUM(I164:L164)</f>
        <v/>
      </c>
      <c r="O164" t="b">
        <v>0</v>
      </c>
    </row>
    <row r="165">
      <c r="A165" t="inlineStr">
        <is>
          <t>M006</t>
        </is>
      </c>
      <c r="B165">
        <f>IFERROR(INDEX(Managers!$B:$B,MATCH(A165,Managers!$A:$A,0)),"")</f>
        <v/>
      </c>
      <c r="C165" t="inlineStr">
        <is>
          <t>R32_09</t>
        </is>
      </c>
      <c r="D165">
        <f>IFERROR(INDEX(Matches_2!$B:$B,MATCH(C165,Matches_2!$A:$A,0)),"")</f>
        <v/>
      </c>
      <c r="I165">
        <f>IF(OR(E165="",IFERROR(INDEX(Matches_2!$F:$F,MATCH(C165,Matches_2!$A:$A,0)),"")=""),0,IF(E165=IFERROR(INDEX(Matches_2!$F:$F,MATCH(C165,Matches_2!$A:$A,0)),""),Scoring_Constants!$B$6,0))</f>
        <v/>
      </c>
      <c r="J165">
        <f>IF(OR(F165="",IFERROR(INDEX(Matches_2!$G:$G,MATCH(C165,Matches_2!$A:$A,0)),"")=""),0,IF(ISNUMBER(SEARCH(F165,IFERROR(INDEX(Matches_2!$G:$G,MATCH(C165,Matches_2!$A:$A,0)),""))),Scoring_Constants!$B$7,0))</f>
        <v/>
      </c>
      <c r="K165">
        <f>IF(OR(G165="",IFERROR(INDEX(Matches_2!$G:$G,MATCH(C165,Matches_2!$A:$A,0)),"")=""),0,IF(AND(ISNUMBER(SEARCH(G165,IFERROR(INDEX(Matches_2!$G:$G,MATCH(C165,Matches_2!$A:$A,0)),""))),G165&lt;&gt;F165),Scoring_Constants!$B$7,0))</f>
        <v/>
      </c>
      <c r="L165">
        <f>IF(OR(H165="",IFERROR(INDEX(Matches_2!$H:$H,MATCH(C165,Matches_2!$A:$A,0)),"")=""),0,IF(H165=IFERROR(INDEX(Matches_2!$H:$H,MATCH(C165,Matches_2!$A:$A,0)),""),Scoring_Constants!$B$8,0))</f>
        <v/>
      </c>
      <c r="M165">
        <f>SUM(I165:L165)</f>
        <v/>
      </c>
      <c r="O165" t="b">
        <v>0</v>
      </c>
    </row>
    <row r="166">
      <c r="A166" t="inlineStr">
        <is>
          <t>M006</t>
        </is>
      </c>
      <c r="B166">
        <f>IFERROR(INDEX(Managers!$B:$B,MATCH(A166,Managers!$A:$A,0)),"")</f>
        <v/>
      </c>
      <c r="C166" t="inlineStr">
        <is>
          <t>R32_10</t>
        </is>
      </c>
      <c r="D166">
        <f>IFERROR(INDEX(Matches_2!$B:$B,MATCH(C166,Matches_2!$A:$A,0)),"")</f>
        <v/>
      </c>
      <c r="I166">
        <f>IF(OR(E166="",IFERROR(INDEX(Matches_2!$F:$F,MATCH(C166,Matches_2!$A:$A,0)),"")=""),0,IF(E166=IFERROR(INDEX(Matches_2!$F:$F,MATCH(C166,Matches_2!$A:$A,0)),""),Scoring_Constants!$B$6,0))</f>
        <v/>
      </c>
      <c r="J166">
        <f>IF(OR(F166="",IFERROR(INDEX(Matches_2!$G:$G,MATCH(C166,Matches_2!$A:$A,0)),"")=""),0,IF(ISNUMBER(SEARCH(F166,IFERROR(INDEX(Matches_2!$G:$G,MATCH(C166,Matches_2!$A:$A,0)),""))),Scoring_Constants!$B$7,0))</f>
        <v/>
      </c>
      <c r="K166">
        <f>IF(OR(G166="",IFERROR(INDEX(Matches_2!$G:$G,MATCH(C166,Matches_2!$A:$A,0)),"")=""),0,IF(AND(ISNUMBER(SEARCH(G166,IFERROR(INDEX(Matches_2!$G:$G,MATCH(C166,Matches_2!$A:$A,0)),""))),G166&lt;&gt;F166),Scoring_Constants!$B$7,0))</f>
        <v/>
      </c>
      <c r="L166">
        <f>IF(OR(H166="",IFERROR(INDEX(Matches_2!$H:$H,MATCH(C166,Matches_2!$A:$A,0)),"")=""),0,IF(H166=IFERROR(INDEX(Matches_2!$H:$H,MATCH(C166,Matches_2!$A:$A,0)),""),Scoring_Constants!$B$8,0))</f>
        <v/>
      </c>
      <c r="M166">
        <f>SUM(I166:L166)</f>
        <v/>
      </c>
      <c r="O166" t="b">
        <v>0</v>
      </c>
    </row>
    <row r="167">
      <c r="A167" t="inlineStr">
        <is>
          <t>M006</t>
        </is>
      </c>
      <c r="B167">
        <f>IFERROR(INDEX(Managers!$B:$B,MATCH(A167,Managers!$A:$A,0)),"")</f>
        <v/>
      </c>
      <c r="C167" t="inlineStr">
        <is>
          <t>R32_11</t>
        </is>
      </c>
      <c r="D167">
        <f>IFERROR(INDEX(Matches_2!$B:$B,MATCH(C167,Matches_2!$A:$A,0)),"")</f>
        <v/>
      </c>
      <c r="I167">
        <f>IF(OR(E167="",IFERROR(INDEX(Matches_2!$F:$F,MATCH(C167,Matches_2!$A:$A,0)),"")=""),0,IF(E167=IFERROR(INDEX(Matches_2!$F:$F,MATCH(C167,Matches_2!$A:$A,0)),""),Scoring_Constants!$B$6,0))</f>
        <v/>
      </c>
      <c r="J167">
        <f>IF(OR(F167="",IFERROR(INDEX(Matches_2!$G:$G,MATCH(C167,Matches_2!$A:$A,0)),"")=""),0,IF(ISNUMBER(SEARCH(F167,IFERROR(INDEX(Matches_2!$G:$G,MATCH(C167,Matches_2!$A:$A,0)),""))),Scoring_Constants!$B$7,0))</f>
        <v/>
      </c>
      <c r="K167">
        <f>IF(OR(G167="",IFERROR(INDEX(Matches_2!$G:$G,MATCH(C167,Matches_2!$A:$A,0)),"")=""),0,IF(AND(ISNUMBER(SEARCH(G167,IFERROR(INDEX(Matches_2!$G:$G,MATCH(C167,Matches_2!$A:$A,0)),""))),G167&lt;&gt;F167),Scoring_Constants!$B$7,0))</f>
        <v/>
      </c>
      <c r="L167">
        <f>IF(OR(H167="",IFERROR(INDEX(Matches_2!$H:$H,MATCH(C167,Matches_2!$A:$A,0)),"")=""),0,IF(H167=IFERROR(INDEX(Matches_2!$H:$H,MATCH(C167,Matches_2!$A:$A,0)),""),Scoring_Constants!$B$8,0))</f>
        <v/>
      </c>
      <c r="M167">
        <f>SUM(I167:L167)</f>
        <v/>
      </c>
      <c r="O167" t="b">
        <v>0</v>
      </c>
    </row>
    <row r="168">
      <c r="A168" t="inlineStr">
        <is>
          <t>M006</t>
        </is>
      </c>
      <c r="B168">
        <f>IFERROR(INDEX(Managers!$B:$B,MATCH(A168,Managers!$A:$A,0)),"")</f>
        <v/>
      </c>
      <c r="C168" t="inlineStr">
        <is>
          <t>R32_12</t>
        </is>
      </c>
      <c r="D168">
        <f>IFERROR(INDEX(Matches_2!$B:$B,MATCH(C168,Matches_2!$A:$A,0)),"")</f>
        <v/>
      </c>
      <c r="I168">
        <f>IF(OR(E168="",IFERROR(INDEX(Matches_2!$F:$F,MATCH(C168,Matches_2!$A:$A,0)),"")=""),0,IF(E168=IFERROR(INDEX(Matches_2!$F:$F,MATCH(C168,Matches_2!$A:$A,0)),""),Scoring_Constants!$B$6,0))</f>
        <v/>
      </c>
      <c r="J168">
        <f>IF(OR(F168="",IFERROR(INDEX(Matches_2!$G:$G,MATCH(C168,Matches_2!$A:$A,0)),"")=""),0,IF(ISNUMBER(SEARCH(F168,IFERROR(INDEX(Matches_2!$G:$G,MATCH(C168,Matches_2!$A:$A,0)),""))),Scoring_Constants!$B$7,0))</f>
        <v/>
      </c>
      <c r="K168">
        <f>IF(OR(G168="",IFERROR(INDEX(Matches_2!$G:$G,MATCH(C168,Matches_2!$A:$A,0)),"")=""),0,IF(AND(ISNUMBER(SEARCH(G168,IFERROR(INDEX(Matches_2!$G:$G,MATCH(C168,Matches_2!$A:$A,0)),""))),G168&lt;&gt;F168),Scoring_Constants!$B$7,0))</f>
        <v/>
      </c>
      <c r="L168">
        <f>IF(OR(H168="",IFERROR(INDEX(Matches_2!$H:$H,MATCH(C168,Matches_2!$A:$A,0)),"")=""),0,IF(H168=IFERROR(INDEX(Matches_2!$H:$H,MATCH(C168,Matches_2!$A:$A,0)),""),Scoring_Constants!$B$8,0))</f>
        <v/>
      </c>
      <c r="M168">
        <f>SUM(I168:L168)</f>
        <v/>
      </c>
      <c r="O168" t="b">
        <v>0</v>
      </c>
    </row>
    <row r="169">
      <c r="A169" t="inlineStr">
        <is>
          <t>M006</t>
        </is>
      </c>
      <c r="B169">
        <f>IFERROR(INDEX(Managers!$B:$B,MATCH(A169,Managers!$A:$A,0)),"")</f>
        <v/>
      </c>
      <c r="C169" t="inlineStr">
        <is>
          <t>R32_13</t>
        </is>
      </c>
      <c r="D169">
        <f>IFERROR(INDEX(Matches_2!$B:$B,MATCH(C169,Matches_2!$A:$A,0)),"")</f>
        <v/>
      </c>
      <c r="I169">
        <f>IF(OR(E169="",IFERROR(INDEX(Matches_2!$F:$F,MATCH(C169,Matches_2!$A:$A,0)),"")=""),0,IF(E169=IFERROR(INDEX(Matches_2!$F:$F,MATCH(C169,Matches_2!$A:$A,0)),""),Scoring_Constants!$B$6,0))</f>
        <v/>
      </c>
      <c r="J169">
        <f>IF(OR(F169="",IFERROR(INDEX(Matches_2!$G:$G,MATCH(C169,Matches_2!$A:$A,0)),"")=""),0,IF(ISNUMBER(SEARCH(F169,IFERROR(INDEX(Matches_2!$G:$G,MATCH(C169,Matches_2!$A:$A,0)),""))),Scoring_Constants!$B$7,0))</f>
        <v/>
      </c>
      <c r="K169">
        <f>IF(OR(G169="",IFERROR(INDEX(Matches_2!$G:$G,MATCH(C169,Matches_2!$A:$A,0)),"")=""),0,IF(AND(ISNUMBER(SEARCH(G169,IFERROR(INDEX(Matches_2!$G:$G,MATCH(C169,Matches_2!$A:$A,0)),""))),G169&lt;&gt;F169),Scoring_Constants!$B$7,0))</f>
        <v/>
      </c>
      <c r="L169">
        <f>IF(OR(H169="",IFERROR(INDEX(Matches_2!$H:$H,MATCH(C169,Matches_2!$A:$A,0)),"")=""),0,IF(H169=IFERROR(INDEX(Matches_2!$H:$H,MATCH(C169,Matches_2!$A:$A,0)),""),Scoring_Constants!$B$8,0))</f>
        <v/>
      </c>
      <c r="M169">
        <f>SUM(I169:L169)</f>
        <v/>
      </c>
      <c r="O169" t="b">
        <v>0</v>
      </c>
    </row>
    <row r="170">
      <c r="A170" t="inlineStr">
        <is>
          <t>M006</t>
        </is>
      </c>
      <c r="B170">
        <f>IFERROR(INDEX(Managers!$B:$B,MATCH(A170,Managers!$A:$A,0)),"")</f>
        <v/>
      </c>
      <c r="C170" t="inlineStr">
        <is>
          <t>R32_14</t>
        </is>
      </c>
      <c r="D170">
        <f>IFERROR(INDEX(Matches_2!$B:$B,MATCH(C170,Matches_2!$A:$A,0)),"")</f>
        <v/>
      </c>
      <c r="I170">
        <f>IF(OR(E170="",IFERROR(INDEX(Matches_2!$F:$F,MATCH(C170,Matches_2!$A:$A,0)),"")=""),0,IF(E170=IFERROR(INDEX(Matches_2!$F:$F,MATCH(C170,Matches_2!$A:$A,0)),""),Scoring_Constants!$B$6,0))</f>
        <v/>
      </c>
      <c r="J170">
        <f>IF(OR(F170="",IFERROR(INDEX(Matches_2!$G:$G,MATCH(C170,Matches_2!$A:$A,0)),"")=""),0,IF(ISNUMBER(SEARCH(F170,IFERROR(INDEX(Matches_2!$G:$G,MATCH(C170,Matches_2!$A:$A,0)),""))),Scoring_Constants!$B$7,0))</f>
        <v/>
      </c>
      <c r="K170">
        <f>IF(OR(G170="",IFERROR(INDEX(Matches_2!$G:$G,MATCH(C170,Matches_2!$A:$A,0)),"")=""),0,IF(AND(ISNUMBER(SEARCH(G170,IFERROR(INDEX(Matches_2!$G:$G,MATCH(C170,Matches_2!$A:$A,0)),""))),G170&lt;&gt;F170),Scoring_Constants!$B$7,0))</f>
        <v/>
      </c>
      <c r="L170">
        <f>IF(OR(H170="",IFERROR(INDEX(Matches_2!$H:$H,MATCH(C170,Matches_2!$A:$A,0)),"")=""),0,IF(H170=IFERROR(INDEX(Matches_2!$H:$H,MATCH(C170,Matches_2!$A:$A,0)),""),Scoring_Constants!$B$8,0))</f>
        <v/>
      </c>
      <c r="M170">
        <f>SUM(I170:L170)</f>
        <v/>
      </c>
      <c r="O170" t="b">
        <v>0</v>
      </c>
    </row>
    <row r="171">
      <c r="A171" t="inlineStr">
        <is>
          <t>M006</t>
        </is>
      </c>
      <c r="B171">
        <f>IFERROR(INDEX(Managers!$B:$B,MATCH(A171,Managers!$A:$A,0)),"")</f>
        <v/>
      </c>
      <c r="C171" t="inlineStr">
        <is>
          <t>R32_15</t>
        </is>
      </c>
      <c r="D171">
        <f>IFERROR(INDEX(Matches_2!$B:$B,MATCH(C171,Matches_2!$A:$A,0)),"")</f>
        <v/>
      </c>
      <c r="I171">
        <f>IF(OR(E171="",IFERROR(INDEX(Matches_2!$F:$F,MATCH(C171,Matches_2!$A:$A,0)),"")=""),0,IF(E171=IFERROR(INDEX(Matches_2!$F:$F,MATCH(C171,Matches_2!$A:$A,0)),""),Scoring_Constants!$B$6,0))</f>
        <v/>
      </c>
      <c r="J171">
        <f>IF(OR(F171="",IFERROR(INDEX(Matches_2!$G:$G,MATCH(C171,Matches_2!$A:$A,0)),"")=""),0,IF(ISNUMBER(SEARCH(F171,IFERROR(INDEX(Matches_2!$G:$G,MATCH(C171,Matches_2!$A:$A,0)),""))),Scoring_Constants!$B$7,0))</f>
        <v/>
      </c>
      <c r="K171">
        <f>IF(OR(G171="",IFERROR(INDEX(Matches_2!$G:$G,MATCH(C171,Matches_2!$A:$A,0)),"")=""),0,IF(AND(ISNUMBER(SEARCH(G171,IFERROR(INDEX(Matches_2!$G:$G,MATCH(C171,Matches_2!$A:$A,0)),""))),G171&lt;&gt;F171),Scoring_Constants!$B$7,0))</f>
        <v/>
      </c>
      <c r="L171">
        <f>IF(OR(H171="",IFERROR(INDEX(Matches_2!$H:$H,MATCH(C171,Matches_2!$A:$A,0)),"")=""),0,IF(H171=IFERROR(INDEX(Matches_2!$H:$H,MATCH(C171,Matches_2!$A:$A,0)),""),Scoring_Constants!$B$8,0))</f>
        <v/>
      </c>
      <c r="M171">
        <f>SUM(I171:L171)</f>
        <v/>
      </c>
      <c r="O171" t="b">
        <v>0</v>
      </c>
    </row>
    <row r="172">
      <c r="A172" t="inlineStr">
        <is>
          <t>M006</t>
        </is>
      </c>
      <c r="B172">
        <f>IFERROR(INDEX(Managers!$B:$B,MATCH(A172,Managers!$A:$A,0)),"")</f>
        <v/>
      </c>
      <c r="C172" t="inlineStr">
        <is>
          <t>R32_16</t>
        </is>
      </c>
      <c r="D172">
        <f>IFERROR(INDEX(Matches_2!$B:$B,MATCH(C172,Matches_2!$A:$A,0)),"")</f>
        <v/>
      </c>
      <c r="I172">
        <f>IF(OR(E172="",IFERROR(INDEX(Matches_2!$F:$F,MATCH(C172,Matches_2!$A:$A,0)),"")=""),0,IF(E172=IFERROR(INDEX(Matches_2!$F:$F,MATCH(C172,Matches_2!$A:$A,0)),""),Scoring_Constants!$B$6,0))</f>
        <v/>
      </c>
      <c r="J172">
        <f>IF(OR(F172="",IFERROR(INDEX(Matches_2!$G:$G,MATCH(C172,Matches_2!$A:$A,0)),"")=""),0,IF(ISNUMBER(SEARCH(F172,IFERROR(INDEX(Matches_2!$G:$G,MATCH(C172,Matches_2!$A:$A,0)),""))),Scoring_Constants!$B$7,0))</f>
        <v/>
      </c>
      <c r="K172">
        <f>IF(OR(G172="",IFERROR(INDEX(Matches_2!$G:$G,MATCH(C172,Matches_2!$A:$A,0)),"")=""),0,IF(AND(ISNUMBER(SEARCH(G172,IFERROR(INDEX(Matches_2!$G:$G,MATCH(C172,Matches_2!$A:$A,0)),""))),G172&lt;&gt;F172),Scoring_Constants!$B$7,0))</f>
        <v/>
      </c>
      <c r="L172">
        <f>IF(OR(H172="",IFERROR(INDEX(Matches_2!$H:$H,MATCH(C172,Matches_2!$A:$A,0)),"")=""),0,IF(H172=IFERROR(INDEX(Matches_2!$H:$H,MATCH(C172,Matches_2!$A:$A,0)),""),Scoring_Constants!$B$8,0))</f>
        <v/>
      </c>
      <c r="M172">
        <f>SUM(I172:L172)</f>
        <v/>
      </c>
      <c r="O172" t="b">
        <v>0</v>
      </c>
    </row>
    <row r="173">
      <c r="A173" t="inlineStr">
        <is>
          <t>M006</t>
        </is>
      </c>
      <c r="B173">
        <f>IFERROR(INDEX(Managers!$B:$B,MATCH(A173,Managers!$A:$A,0)),"")</f>
        <v/>
      </c>
      <c r="C173" t="inlineStr">
        <is>
          <t>R16_01</t>
        </is>
      </c>
      <c r="D173">
        <f>IFERROR(INDEX(Matches_2!$B:$B,MATCH(C173,Matches_2!$A:$A,0)),"")</f>
        <v/>
      </c>
      <c r="I173">
        <f>IF(OR(E173="",IFERROR(INDEX(Matches_2!$F:$F,MATCH(C173,Matches_2!$A:$A,0)),"")=""),0,IF(E173=IFERROR(INDEX(Matches_2!$F:$F,MATCH(C173,Matches_2!$A:$A,0)),""),Scoring_Constants!$B$6,0))</f>
        <v/>
      </c>
      <c r="J173">
        <f>IF(OR(F173="",IFERROR(INDEX(Matches_2!$G:$G,MATCH(C173,Matches_2!$A:$A,0)),"")=""),0,IF(ISNUMBER(SEARCH(F173,IFERROR(INDEX(Matches_2!$G:$G,MATCH(C173,Matches_2!$A:$A,0)),""))),Scoring_Constants!$B$7,0))</f>
        <v/>
      </c>
      <c r="K173">
        <f>IF(OR(G173="",IFERROR(INDEX(Matches_2!$G:$G,MATCH(C173,Matches_2!$A:$A,0)),"")=""),0,IF(AND(ISNUMBER(SEARCH(G173,IFERROR(INDEX(Matches_2!$G:$G,MATCH(C173,Matches_2!$A:$A,0)),""))),G173&lt;&gt;F173),Scoring_Constants!$B$7,0))</f>
        <v/>
      </c>
      <c r="L173">
        <f>IF(OR(H173="",IFERROR(INDEX(Matches_2!$H:$H,MATCH(C173,Matches_2!$A:$A,0)),"")=""),0,IF(H173=IFERROR(INDEX(Matches_2!$H:$H,MATCH(C173,Matches_2!$A:$A,0)),""),Scoring_Constants!$B$8,0))</f>
        <v/>
      </c>
      <c r="M173">
        <f>SUM(I173:L173)</f>
        <v/>
      </c>
      <c r="O173" t="b">
        <v>0</v>
      </c>
    </row>
    <row r="174">
      <c r="A174" t="inlineStr">
        <is>
          <t>M006</t>
        </is>
      </c>
      <c r="B174">
        <f>IFERROR(INDEX(Managers!$B:$B,MATCH(A174,Managers!$A:$A,0)),"")</f>
        <v/>
      </c>
      <c r="C174" t="inlineStr">
        <is>
          <t>R16_02</t>
        </is>
      </c>
      <c r="D174">
        <f>IFERROR(INDEX(Matches_2!$B:$B,MATCH(C174,Matches_2!$A:$A,0)),"")</f>
        <v/>
      </c>
      <c r="I174">
        <f>IF(OR(E174="",IFERROR(INDEX(Matches_2!$F:$F,MATCH(C174,Matches_2!$A:$A,0)),"")=""),0,IF(E174=IFERROR(INDEX(Matches_2!$F:$F,MATCH(C174,Matches_2!$A:$A,0)),""),Scoring_Constants!$B$6,0))</f>
        <v/>
      </c>
      <c r="J174">
        <f>IF(OR(F174="",IFERROR(INDEX(Matches_2!$G:$G,MATCH(C174,Matches_2!$A:$A,0)),"")=""),0,IF(ISNUMBER(SEARCH(F174,IFERROR(INDEX(Matches_2!$G:$G,MATCH(C174,Matches_2!$A:$A,0)),""))),Scoring_Constants!$B$7,0))</f>
        <v/>
      </c>
      <c r="K174">
        <f>IF(OR(G174="",IFERROR(INDEX(Matches_2!$G:$G,MATCH(C174,Matches_2!$A:$A,0)),"")=""),0,IF(AND(ISNUMBER(SEARCH(G174,IFERROR(INDEX(Matches_2!$G:$G,MATCH(C174,Matches_2!$A:$A,0)),""))),G174&lt;&gt;F174),Scoring_Constants!$B$7,0))</f>
        <v/>
      </c>
      <c r="L174">
        <f>IF(OR(H174="",IFERROR(INDEX(Matches_2!$H:$H,MATCH(C174,Matches_2!$A:$A,0)),"")=""),0,IF(H174=IFERROR(INDEX(Matches_2!$H:$H,MATCH(C174,Matches_2!$A:$A,0)),""),Scoring_Constants!$B$8,0))</f>
        <v/>
      </c>
      <c r="M174">
        <f>SUM(I174:L174)</f>
        <v/>
      </c>
      <c r="O174" t="b">
        <v>0</v>
      </c>
    </row>
    <row r="175">
      <c r="A175" t="inlineStr">
        <is>
          <t>M006</t>
        </is>
      </c>
      <c r="B175">
        <f>IFERROR(INDEX(Managers!$B:$B,MATCH(A175,Managers!$A:$A,0)),"")</f>
        <v/>
      </c>
      <c r="C175" t="inlineStr">
        <is>
          <t>R16_03</t>
        </is>
      </c>
      <c r="D175">
        <f>IFERROR(INDEX(Matches_2!$B:$B,MATCH(C175,Matches_2!$A:$A,0)),"")</f>
        <v/>
      </c>
      <c r="I175">
        <f>IF(OR(E175="",IFERROR(INDEX(Matches_2!$F:$F,MATCH(C175,Matches_2!$A:$A,0)),"")=""),0,IF(E175=IFERROR(INDEX(Matches_2!$F:$F,MATCH(C175,Matches_2!$A:$A,0)),""),Scoring_Constants!$B$6,0))</f>
        <v/>
      </c>
      <c r="J175">
        <f>IF(OR(F175="",IFERROR(INDEX(Matches_2!$G:$G,MATCH(C175,Matches_2!$A:$A,0)),"")=""),0,IF(ISNUMBER(SEARCH(F175,IFERROR(INDEX(Matches_2!$G:$G,MATCH(C175,Matches_2!$A:$A,0)),""))),Scoring_Constants!$B$7,0))</f>
        <v/>
      </c>
      <c r="K175">
        <f>IF(OR(G175="",IFERROR(INDEX(Matches_2!$G:$G,MATCH(C175,Matches_2!$A:$A,0)),"")=""),0,IF(AND(ISNUMBER(SEARCH(G175,IFERROR(INDEX(Matches_2!$G:$G,MATCH(C175,Matches_2!$A:$A,0)),""))),G175&lt;&gt;F175),Scoring_Constants!$B$7,0))</f>
        <v/>
      </c>
      <c r="L175">
        <f>IF(OR(H175="",IFERROR(INDEX(Matches_2!$H:$H,MATCH(C175,Matches_2!$A:$A,0)),"")=""),0,IF(H175=IFERROR(INDEX(Matches_2!$H:$H,MATCH(C175,Matches_2!$A:$A,0)),""),Scoring_Constants!$B$8,0))</f>
        <v/>
      </c>
      <c r="M175">
        <f>SUM(I175:L175)</f>
        <v/>
      </c>
      <c r="O175" t="b">
        <v>0</v>
      </c>
    </row>
    <row r="176">
      <c r="A176" t="inlineStr">
        <is>
          <t>M006</t>
        </is>
      </c>
      <c r="B176">
        <f>IFERROR(INDEX(Managers!$B:$B,MATCH(A176,Managers!$A:$A,0)),"")</f>
        <v/>
      </c>
      <c r="C176" t="inlineStr">
        <is>
          <t>R16_04</t>
        </is>
      </c>
      <c r="D176">
        <f>IFERROR(INDEX(Matches_2!$B:$B,MATCH(C176,Matches_2!$A:$A,0)),"")</f>
        <v/>
      </c>
      <c r="I176">
        <f>IF(OR(E176="",IFERROR(INDEX(Matches_2!$F:$F,MATCH(C176,Matches_2!$A:$A,0)),"")=""),0,IF(E176=IFERROR(INDEX(Matches_2!$F:$F,MATCH(C176,Matches_2!$A:$A,0)),""),Scoring_Constants!$B$6,0))</f>
        <v/>
      </c>
      <c r="J176">
        <f>IF(OR(F176="",IFERROR(INDEX(Matches_2!$G:$G,MATCH(C176,Matches_2!$A:$A,0)),"")=""),0,IF(ISNUMBER(SEARCH(F176,IFERROR(INDEX(Matches_2!$G:$G,MATCH(C176,Matches_2!$A:$A,0)),""))),Scoring_Constants!$B$7,0))</f>
        <v/>
      </c>
      <c r="K176">
        <f>IF(OR(G176="",IFERROR(INDEX(Matches_2!$G:$G,MATCH(C176,Matches_2!$A:$A,0)),"")=""),0,IF(AND(ISNUMBER(SEARCH(G176,IFERROR(INDEX(Matches_2!$G:$G,MATCH(C176,Matches_2!$A:$A,0)),""))),G176&lt;&gt;F176),Scoring_Constants!$B$7,0))</f>
        <v/>
      </c>
      <c r="L176">
        <f>IF(OR(H176="",IFERROR(INDEX(Matches_2!$H:$H,MATCH(C176,Matches_2!$A:$A,0)),"")=""),0,IF(H176=IFERROR(INDEX(Matches_2!$H:$H,MATCH(C176,Matches_2!$A:$A,0)),""),Scoring_Constants!$B$8,0))</f>
        <v/>
      </c>
      <c r="M176">
        <f>SUM(I176:L176)</f>
        <v/>
      </c>
      <c r="O176" t="b">
        <v>0</v>
      </c>
    </row>
    <row r="177">
      <c r="A177" t="inlineStr">
        <is>
          <t>M006</t>
        </is>
      </c>
      <c r="B177">
        <f>IFERROR(INDEX(Managers!$B:$B,MATCH(A177,Managers!$A:$A,0)),"")</f>
        <v/>
      </c>
      <c r="C177" t="inlineStr">
        <is>
          <t>R16_05</t>
        </is>
      </c>
      <c r="D177">
        <f>IFERROR(INDEX(Matches_2!$B:$B,MATCH(C177,Matches_2!$A:$A,0)),"")</f>
        <v/>
      </c>
      <c r="I177">
        <f>IF(OR(E177="",IFERROR(INDEX(Matches_2!$F:$F,MATCH(C177,Matches_2!$A:$A,0)),"")=""),0,IF(E177=IFERROR(INDEX(Matches_2!$F:$F,MATCH(C177,Matches_2!$A:$A,0)),""),Scoring_Constants!$B$6,0))</f>
        <v/>
      </c>
      <c r="J177">
        <f>IF(OR(F177="",IFERROR(INDEX(Matches_2!$G:$G,MATCH(C177,Matches_2!$A:$A,0)),"")=""),0,IF(ISNUMBER(SEARCH(F177,IFERROR(INDEX(Matches_2!$G:$G,MATCH(C177,Matches_2!$A:$A,0)),""))),Scoring_Constants!$B$7,0))</f>
        <v/>
      </c>
      <c r="K177">
        <f>IF(OR(G177="",IFERROR(INDEX(Matches_2!$G:$G,MATCH(C177,Matches_2!$A:$A,0)),"")=""),0,IF(AND(ISNUMBER(SEARCH(G177,IFERROR(INDEX(Matches_2!$G:$G,MATCH(C177,Matches_2!$A:$A,0)),""))),G177&lt;&gt;F177),Scoring_Constants!$B$7,0))</f>
        <v/>
      </c>
      <c r="L177">
        <f>IF(OR(H177="",IFERROR(INDEX(Matches_2!$H:$H,MATCH(C177,Matches_2!$A:$A,0)),"")=""),0,IF(H177=IFERROR(INDEX(Matches_2!$H:$H,MATCH(C177,Matches_2!$A:$A,0)),""),Scoring_Constants!$B$8,0))</f>
        <v/>
      </c>
      <c r="M177">
        <f>SUM(I177:L177)</f>
        <v/>
      </c>
      <c r="O177" t="b">
        <v>0</v>
      </c>
    </row>
    <row r="178">
      <c r="A178" t="inlineStr">
        <is>
          <t>M006</t>
        </is>
      </c>
      <c r="B178">
        <f>IFERROR(INDEX(Managers!$B:$B,MATCH(A178,Managers!$A:$A,0)),"")</f>
        <v/>
      </c>
      <c r="C178" t="inlineStr">
        <is>
          <t>R16_06</t>
        </is>
      </c>
      <c r="D178">
        <f>IFERROR(INDEX(Matches_2!$B:$B,MATCH(C178,Matches_2!$A:$A,0)),"")</f>
        <v/>
      </c>
      <c r="I178">
        <f>IF(OR(E178="",IFERROR(INDEX(Matches_2!$F:$F,MATCH(C178,Matches_2!$A:$A,0)),"")=""),0,IF(E178=IFERROR(INDEX(Matches_2!$F:$F,MATCH(C178,Matches_2!$A:$A,0)),""),Scoring_Constants!$B$6,0))</f>
        <v/>
      </c>
      <c r="J178">
        <f>IF(OR(F178="",IFERROR(INDEX(Matches_2!$G:$G,MATCH(C178,Matches_2!$A:$A,0)),"")=""),0,IF(ISNUMBER(SEARCH(F178,IFERROR(INDEX(Matches_2!$G:$G,MATCH(C178,Matches_2!$A:$A,0)),""))),Scoring_Constants!$B$7,0))</f>
        <v/>
      </c>
      <c r="K178">
        <f>IF(OR(G178="",IFERROR(INDEX(Matches_2!$G:$G,MATCH(C178,Matches_2!$A:$A,0)),"")=""),0,IF(AND(ISNUMBER(SEARCH(G178,IFERROR(INDEX(Matches_2!$G:$G,MATCH(C178,Matches_2!$A:$A,0)),""))),G178&lt;&gt;F178),Scoring_Constants!$B$7,0))</f>
        <v/>
      </c>
      <c r="L178">
        <f>IF(OR(H178="",IFERROR(INDEX(Matches_2!$H:$H,MATCH(C178,Matches_2!$A:$A,0)),"")=""),0,IF(H178=IFERROR(INDEX(Matches_2!$H:$H,MATCH(C178,Matches_2!$A:$A,0)),""),Scoring_Constants!$B$8,0))</f>
        <v/>
      </c>
      <c r="M178">
        <f>SUM(I178:L178)</f>
        <v/>
      </c>
      <c r="O178" t="b">
        <v>0</v>
      </c>
    </row>
    <row r="179">
      <c r="A179" t="inlineStr">
        <is>
          <t>M006</t>
        </is>
      </c>
      <c r="B179">
        <f>IFERROR(INDEX(Managers!$B:$B,MATCH(A179,Managers!$A:$A,0)),"")</f>
        <v/>
      </c>
      <c r="C179" t="inlineStr">
        <is>
          <t>R16_07</t>
        </is>
      </c>
      <c r="D179">
        <f>IFERROR(INDEX(Matches_2!$B:$B,MATCH(C179,Matches_2!$A:$A,0)),"")</f>
        <v/>
      </c>
      <c r="I179">
        <f>IF(OR(E179="",IFERROR(INDEX(Matches_2!$F:$F,MATCH(C179,Matches_2!$A:$A,0)),"")=""),0,IF(E179=IFERROR(INDEX(Matches_2!$F:$F,MATCH(C179,Matches_2!$A:$A,0)),""),Scoring_Constants!$B$6,0))</f>
        <v/>
      </c>
      <c r="J179">
        <f>IF(OR(F179="",IFERROR(INDEX(Matches_2!$G:$G,MATCH(C179,Matches_2!$A:$A,0)),"")=""),0,IF(ISNUMBER(SEARCH(F179,IFERROR(INDEX(Matches_2!$G:$G,MATCH(C179,Matches_2!$A:$A,0)),""))),Scoring_Constants!$B$7,0))</f>
        <v/>
      </c>
      <c r="K179">
        <f>IF(OR(G179="",IFERROR(INDEX(Matches_2!$G:$G,MATCH(C179,Matches_2!$A:$A,0)),"")=""),0,IF(AND(ISNUMBER(SEARCH(G179,IFERROR(INDEX(Matches_2!$G:$G,MATCH(C179,Matches_2!$A:$A,0)),""))),G179&lt;&gt;F179),Scoring_Constants!$B$7,0))</f>
        <v/>
      </c>
      <c r="L179">
        <f>IF(OR(H179="",IFERROR(INDEX(Matches_2!$H:$H,MATCH(C179,Matches_2!$A:$A,0)),"")=""),0,IF(H179=IFERROR(INDEX(Matches_2!$H:$H,MATCH(C179,Matches_2!$A:$A,0)),""),Scoring_Constants!$B$8,0))</f>
        <v/>
      </c>
      <c r="M179">
        <f>SUM(I179:L179)</f>
        <v/>
      </c>
      <c r="O179" t="b">
        <v>0</v>
      </c>
    </row>
    <row r="180">
      <c r="A180" t="inlineStr">
        <is>
          <t>M006</t>
        </is>
      </c>
      <c r="B180">
        <f>IFERROR(INDEX(Managers!$B:$B,MATCH(A180,Managers!$A:$A,0)),"")</f>
        <v/>
      </c>
      <c r="C180" t="inlineStr">
        <is>
          <t>R16_08</t>
        </is>
      </c>
      <c r="D180">
        <f>IFERROR(INDEX(Matches_2!$B:$B,MATCH(C180,Matches_2!$A:$A,0)),"")</f>
        <v/>
      </c>
      <c r="I180">
        <f>IF(OR(E180="",IFERROR(INDEX(Matches_2!$F:$F,MATCH(C180,Matches_2!$A:$A,0)),"")=""),0,IF(E180=IFERROR(INDEX(Matches_2!$F:$F,MATCH(C180,Matches_2!$A:$A,0)),""),Scoring_Constants!$B$6,0))</f>
        <v/>
      </c>
      <c r="J180">
        <f>IF(OR(F180="",IFERROR(INDEX(Matches_2!$G:$G,MATCH(C180,Matches_2!$A:$A,0)),"")=""),0,IF(ISNUMBER(SEARCH(F180,IFERROR(INDEX(Matches_2!$G:$G,MATCH(C180,Matches_2!$A:$A,0)),""))),Scoring_Constants!$B$7,0))</f>
        <v/>
      </c>
      <c r="K180">
        <f>IF(OR(G180="",IFERROR(INDEX(Matches_2!$G:$G,MATCH(C180,Matches_2!$A:$A,0)),"")=""),0,IF(AND(ISNUMBER(SEARCH(G180,IFERROR(INDEX(Matches_2!$G:$G,MATCH(C180,Matches_2!$A:$A,0)),""))),G180&lt;&gt;F180),Scoring_Constants!$B$7,0))</f>
        <v/>
      </c>
      <c r="L180">
        <f>IF(OR(H180="",IFERROR(INDEX(Matches_2!$H:$H,MATCH(C180,Matches_2!$A:$A,0)),"")=""),0,IF(H180=IFERROR(INDEX(Matches_2!$H:$H,MATCH(C180,Matches_2!$A:$A,0)),""),Scoring_Constants!$B$8,0))</f>
        <v/>
      </c>
      <c r="M180">
        <f>SUM(I180:L180)</f>
        <v/>
      </c>
      <c r="O180" t="b">
        <v>0</v>
      </c>
    </row>
    <row r="181">
      <c r="A181" t="inlineStr">
        <is>
          <t>M006</t>
        </is>
      </c>
      <c r="B181">
        <f>IFERROR(INDEX(Managers!$B:$B,MATCH(A181,Managers!$A:$A,0)),"")</f>
        <v/>
      </c>
      <c r="C181" t="inlineStr">
        <is>
          <t>QF_01</t>
        </is>
      </c>
      <c r="D181">
        <f>IFERROR(INDEX(Matches_2!$B:$B,MATCH(C181,Matches_2!$A:$A,0)),"")</f>
        <v/>
      </c>
      <c r="I181">
        <f>IF(OR(E181="",IFERROR(INDEX(Matches_2!$F:$F,MATCH(C181,Matches_2!$A:$A,0)),"")=""),0,IF(E181=IFERROR(INDEX(Matches_2!$F:$F,MATCH(C181,Matches_2!$A:$A,0)),""),Scoring_Constants!$B$6,0))</f>
        <v/>
      </c>
      <c r="J181">
        <f>IF(OR(F181="",IFERROR(INDEX(Matches_2!$G:$G,MATCH(C181,Matches_2!$A:$A,0)),"")=""),0,IF(ISNUMBER(SEARCH(F181,IFERROR(INDEX(Matches_2!$G:$G,MATCH(C181,Matches_2!$A:$A,0)),""))),Scoring_Constants!$B$7,0))</f>
        <v/>
      </c>
      <c r="K181">
        <f>IF(OR(G181="",IFERROR(INDEX(Matches_2!$G:$G,MATCH(C181,Matches_2!$A:$A,0)),"")=""),0,IF(AND(ISNUMBER(SEARCH(G181,IFERROR(INDEX(Matches_2!$G:$G,MATCH(C181,Matches_2!$A:$A,0)),""))),G181&lt;&gt;F181),Scoring_Constants!$B$7,0))</f>
        <v/>
      </c>
      <c r="L181">
        <f>IF(OR(H181="",IFERROR(INDEX(Matches_2!$H:$H,MATCH(C181,Matches_2!$A:$A,0)),"")=""),0,IF(H181=IFERROR(INDEX(Matches_2!$H:$H,MATCH(C181,Matches_2!$A:$A,0)),""),Scoring_Constants!$B$8,0))</f>
        <v/>
      </c>
      <c r="M181">
        <f>SUM(I181:L181)</f>
        <v/>
      </c>
      <c r="O181" t="b">
        <v>0</v>
      </c>
    </row>
    <row r="182">
      <c r="A182" t="inlineStr">
        <is>
          <t>M006</t>
        </is>
      </c>
      <c r="B182">
        <f>IFERROR(INDEX(Managers!$B:$B,MATCH(A182,Managers!$A:$A,0)),"")</f>
        <v/>
      </c>
      <c r="C182" t="inlineStr">
        <is>
          <t>QF_02</t>
        </is>
      </c>
      <c r="D182">
        <f>IFERROR(INDEX(Matches_2!$B:$B,MATCH(C182,Matches_2!$A:$A,0)),"")</f>
        <v/>
      </c>
      <c r="I182">
        <f>IF(OR(E182="",IFERROR(INDEX(Matches_2!$F:$F,MATCH(C182,Matches_2!$A:$A,0)),"")=""),0,IF(E182=IFERROR(INDEX(Matches_2!$F:$F,MATCH(C182,Matches_2!$A:$A,0)),""),Scoring_Constants!$B$6,0))</f>
        <v/>
      </c>
      <c r="J182">
        <f>IF(OR(F182="",IFERROR(INDEX(Matches_2!$G:$G,MATCH(C182,Matches_2!$A:$A,0)),"")=""),0,IF(ISNUMBER(SEARCH(F182,IFERROR(INDEX(Matches_2!$G:$G,MATCH(C182,Matches_2!$A:$A,0)),""))),Scoring_Constants!$B$7,0))</f>
        <v/>
      </c>
      <c r="K182">
        <f>IF(OR(G182="",IFERROR(INDEX(Matches_2!$G:$G,MATCH(C182,Matches_2!$A:$A,0)),"")=""),0,IF(AND(ISNUMBER(SEARCH(G182,IFERROR(INDEX(Matches_2!$G:$G,MATCH(C182,Matches_2!$A:$A,0)),""))),G182&lt;&gt;F182),Scoring_Constants!$B$7,0))</f>
        <v/>
      </c>
      <c r="L182">
        <f>IF(OR(H182="",IFERROR(INDEX(Matches_2!$H:$H,MATCH(C182,Matches_2!$A:$A,0)),"")=""),0,IF(H182=IFERROR(INDEX(Matches_2!$H:$H,MATCH(C182,Matches_2!$A:$A,0)),""),Scoring_Constants!$B$8,0))</f>
        <v/>
      </c>
      <c r="M182">
        <f>SUM(I182:L182)</f>
        <v/>
      </c>
      <c r="O182" t="b">
        <v>0</v>
      </c>
    </row>
    <row r="183">
      <c r="A183" t="inlineStr">
        <is>
          <t>M006</t>
        </is>
      </c>
      <c r="B183">
        <f>IFERROR(INDEX(Managers!$B:$B,MATCH(A183,Managers!$A:$A,0)),"")</f>
        <v/>
      </c>
      <c r="C183" t="inlineStr">
        <is>
          <t>QF_03</t>
        </is>
      </c>
      <c r="D183">
        <f>IFERROR(INDEX(Matches_2!$B:$B,MATCH(C183,Matches_2!$A:$A,0)),"")</f>
        <v/>
      </c>
      <c r="I183">
        <f>IF(OR(E183="",IFERROR(INDEX(Matches_2!$F:$F,MATCH(C183,Matches_2!$A:$A,0)),"")=""),0,IF(E183=IFERROR(INDEX(Matches_2!$F:$F,MATCH(C183,Matches_2!$A:$A,0)),""),Scoring_Constants!$B$6,0))</f>
        <v/>
      </c>
      <c r="J183">
        <f>IF(OR(F183="",IFERROR(INDEX(Matches_2!$G:$G,MATCH(C183,Matches_2!$A:$A,0)),"")=""),0,IF(ISNUMBER(SEARCH(F183,IFERROR(INDEX(Matches_2!$G:$G,MATCH(C183,Matches_2!$A:$A,0)),""))),Scoring_Constants!$B$7,0))</f>
        <v/>
      </c>
      <c r="K183">
        <f>IF(OR(G183="",IFERROR(INDEX(Matches_2!$G:$G,MATCH(C183,Matches_2!$A:$A,0)),"")=""),0,IF(AND(ISNUMBER(SEARCH(G183,IFERROR(INDEX(Matches_2!$G:$G,MATCH(C183,Matches_2!$A:$A,0)),""))),G183&lt;&gt;F183),Scoring_Constants!$B$7,0))</f>
        <v/>
      </c>
      <c r="L183">
        <f>IF(OR(H183="",IFERROR(INDEX(Matches_2!$H:$H,MATCH(C183,Matches_2!$A:$A,0)),"")=""),0,IF(H183=IFERROR(INDEX(Matches_2!$H:$H,MATCH(C183,Matches_2!$A:$A,0)),""),Scoring_Constants!$B$8,0))</f>
        <v/>
      </c>
      <c r="M183">
        <f>SUM(I183:L183)</f>
        <v/>
      </c>
      <c r="O183" t="b">
        <v>0</v>
      </c>
    </row>
    <row r="184">
      <c r="A184" t="inlineStr">
        <is>
          <t>M006</t>
        </is>
      </c>
      <c r="B184">
        <f>IFERROR(INDEX(Managers!$B:$B,MATCH(A184,Managers!$A:$A,0)),"")</f>
        <v/>
      </c>
      <c r="C184" t="inlineStr">
        <is>
          <t>QF_04</t>
        </is>
      </c>
      <c r="D184">
        <f>IFERROR(INDEX(Matches_2!$B:$B,MATCH(C184,Matches_2!$A:$A,0)),"")</f>
        <v/>
      </c>
      <c r="I184">
        <f>IF(OR(E184="",IFERROR(INDEX(Matches_2!$F:$F,MATCH(C184,Matches_2!$A:$A,0)),"")=""),0,IF(E184=IFERROR(INDEX(Matches_2!$F:$F,MATCH(C184,Matches_2!$A:$A,0)),""),Scoring_Constants!$B$6,0))</f>
        <v/>
      </c>
      <c r="J184">
        <f>IF(OR(F184="",IFERROR(INDEX(Matches_2!$G:$G,MATCH(C184,Matches_2!$A:$A,0)),"")=""),0,IF(ISNUMBER(SEARCH(F184,IFERROR(INDEX(Matches_2!$G:$G,MATCH(C184,Matches_2!$A:$A,0)),""))),Scoring_Constants!$B$7,0))</f>
        <v/>
      </c>
      <c r="K184">
        <f>IF(OR(G184="",IFERROR(INDEX(Matches_2!$G:$G,MATCH(C184,Matches_2!$A:$A,0)),"")=""),0,IF(AND(ISNUMBER(SEARCH(G184,IFERROR(INDEX(Matches_2!$G:$G,MATCH(C184,Matches_2!$A:$A,0)),""))),G184&lt;&gt;F184),Scoring_Constants!$B$7,0))</f>
        <v/>
      </c>
      <c r="L184">
        <f>IF(OR(H184="",IFERROR(INDEX(Matches_2!$H:$H,MATCH(C184,Matches_2!$A:$A,0)),"")=""),0,IF(H184=IFERROR(INDEX(Matches_2!$H:$H,MATCH(C184,Matches_2!$A:$A,0)),""),Scoring_Constants!$B$8,0))</f>
        <v/>
      </c>
      <c r="M184">
        <f>SUM(I184:L184)</f>
        <v/>
      </c>
      <c r="O184" t="b">
        <v>0</v>
      </c>
    </row>
    <row r="185">
      <c r="A185" t="inlineStr">
        <is>
          <t>M006</t>
        </is>
      </c>
      <c r="B185">
        <f>IFERROR(INDEX(Managers!$B:$B,MATCH(A185,Managers!$A:$A,0)),"")</f>
        <v/>
      </c>
      <c r="C185" t="inlineStr">
        <is>
          <t>SF_01</t>
        </is>
      </c>
      <c r="D185">
        <f>IFERROR(INDEX(Matches_2!$B:$B,MATCH(C185,Matches_2!$A:$A,0)),"")</f>
        <v/>
      </c>
      <c r="I185">
        <f>IF(OR(E185="",IFERROR(INDEX(Matches_2!$F:$F,MATCH(C185,Matches_2!$A:$A,0)),"")=""),0,IF(E185=IFERROR(INDEX(Matches_2!$F:$F,MATCH(C185,Matches_2!$A:$A,0)),""),Scoring_Constants!$B$6,0))</f>
        <v/>
      </c>
      <c r="J185">
        <f>IF(OR(F185="",IFERROR(INDEX(Matches_2!$G:$G,MATCH(C185,Matches_2!$A:$A,0)),"")=""),0,IF(ISNUMBER(SEARCH(F185,IFERROR(INDEX(Matches_2!$G:$G,MATCH(C185,Matches_2!$A:$A,0)),""))),Scoring_Constants!$B$7,0))</f>
        <v/>
      </c>
      <c r="K185">
        <f>IF(OR(G185="",IFERROR(INDEX(Matches_2!$G:$G,MATCH(C185,Matches_2!$A:$A,0)),"")=""),0,IF(AND(ISNUMBER(SEARCH(G185,IFERROR(INDEX(Matches_2!$G:$G,MATCH(C185,Matches_2!$A:$A,0)),""))),G185&lt;&gt;F185),Scoring_Constants!$B$7,0))</f>
        <v/>
      </c>
      <c r="L185">
        <f>IF(OR(H185="",IFERROR(INDEX(Matches_2!$H:$H,MATCH(C185,Matches_2!$A:$A,0)),"")=""),0,IF(H185=IFERROR(INDEX(Matches_2!$H:$H,MATCH(C185,Matches_2!$A:$A,0)),""),Scoring_Constants!$B$8,0))</f>
        <v/>
      </c>
      <c r="M185">
        <f>SUM(I185:L185)</f>
        <v/>
      </c>
      <c r="O185" t="b">
        <v>0</v>
      </c>
    </row>
    <row r="186">
      <c r="A186" t="inlineStr">
        <is>
          <t>M006</t>
        </is>
      </c>
      <c r="B186">
        <f>IFERROR(INDEX(Managers!$B:$B,MATCH(A186,Managers!$A:$A,0)),"")</f>
        <v/>
      </c>
      <c r="C186" t="inlineStr">
        <is>
          <t>SF_02</t>
        </is>
      </c>
      <c r="D186">
        <f>IFERROR(INDEX(Matches_2!$B:$B,MATCH(C186,Matches_2!$A:$A,0)),"")</f>
        <v/>
      </c>
      <c r="I186">
        <f>IF(OR(E186="",IFERROR(INDEX(Matches_2!$F:$F,MATCH(C186,Matches_2!$A:$A,0)),"")=""),0,IF(E186=IFERROR(INDEX(Matches_2!$F:$F,MATCH(C186,Matches_2!$A:$A,0)),""),Scoring_Constants!$B$6,0))</f>
        <v/>
      </c>
      <c r="J186">
        <f>IF(OR(F186="",IFERROR(INDEX(Matches_2!$G:$G,MATCH(C186,Matches_2!$A:$A,0)),"")=""),0,IF(ISNUMBER(SEARCH(F186,IFERROR(INDEX(Matches_2!$G:$G,MATCH(C186,Matches_2!$A:$A,0)),""))),Scoring_Constants!$B$7,0))</f>
        <v/>
      </c>
      <c r="K186">
        <f>IF(OR(G186="",IFERROR(INDEX(Matches_2!$G:$G,MATCH(C186,Matches_2!$A:$A,0)),"")=""),0,IF(AND(ISNUMBER(SEARCH(G186,IFERROR(INDEX(Matches_2!$G:$G,MATCH(C186,Matches_2!$A:$A,0)),""))),G186&lt;&gt;F186),Scoring_Constants!$B$7,0))</f>
        <v/>
      </c>
      <c r="L186">
        <f>IF(OR(H186="",IFERROR(INDEX(Matches_2!$H:$H,MATCH(C186,Matches_2!$A:$A,0)),"")=""),0,IF(H186=IFERROR(INDEX(Matches_2!$H:$H,MATCH(C186,Matches_2!$A:$A,0)),""),Scoring_Constants!$B$8,0))</f>
        <v/>
      </c>
      <c r="M186">
        <f>SUM(I186:L186)</f>
        <v/>
      </c>
      <c r="O186" t="b">
        <v>0</v>
      </c>
    </row>
    <row r="187">
      <c r="A187" t="inlineStr">
        <is>
          <t>M006</t>
        </is>
      </c>
      <c r="B187">
        <f>IFERROR(INDEX(Managers!$B:$B,MATCH(A187,Managers!$A:$A,0)),"")</f>
        <v/>
      </c>
      <c r="C187" t="inlineStr">
        <is>
          <t>F_01</t>
        </is>
      </c>
      <c r="D187">
        <f>IFERROR(INDEX(Matches_2!$B:$B,MATCH(C187,Matches_2!$A:$A,0)),"")</f>
        <v/>
      </c>
      <c r="I187">
        <f>IF(OR(E187="",IFERROR(INDEX(Matches_2!$F:$F,MATCH(C187,Matches_2!$A:$A,0)),"")=""),0,IF(E187=IFERROR(INDEX(Matches_2!$F:$F,MATCH(C187,Matches_2!$A:$A,0)),""),Scoring_Constants!$B$6,0))</f>
        <v/>
      </c>
      <c r="J187">
        <f>IF(OR(F187="",IFERROR(INDEX(Matches_2!$G:$G,MATCH(C187,Matches_2!$A:$A,0)),"")=""),0,IF(ISNUMBER(SEARCH(F187,IFERROR(INDEX(Matches_2!$G:$G,MATCH(C187,Matches_2!$A:$A,0)),""))),Scoring_Constants!$B$7,0))</f>
        <v/>
      </c>
      <c r="K187">
        <f>IF(OR(G187="",IFERROR(INDEX(Matches_2!$G:$G,MATCH(C187,Matches_2!$A:$A,0)),"")=""),0,IF(AND(ISNUMBER(SEARCH(G187,IFERROR(INDEX(Matches_2!$G:$G,MATCH(C187,Matches_2!$A:$A,0)),""))),G187&lt;&gt;F187),Scoring_Constants!$B$7,0))</f>
        <v/>
      </c>
      <c r="L187">
        <f>IF(OR(H187="",IFERROR(INDEX(Matches_2!$H:$H,MATCH(C187,Matches_2!$A:$A,0)),"")=""),0,IF(H187=IFERROR(INDEX(Matches_2!$H:$H,MATCH(C187,Matches_2!$A:$A,0)),""),Scoring_Constants!$B$8,0))</f>
        <v/>
      </c>
      <c r="M187">
        <f>SUM(I187:L187)</f>
        <v/>
      </c>
      <c r="O187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14" customWidth="1" min="3" max="3"/>
    <col width="50" customWidth="1" min="4" max="4"/>
    <col width="50" customWidth="1" min="5" max="5"/>
    <col width="41" customWidth="1" min="6" max="6"/>
    <col width="50" customWidth="1" min="7" max="7"/>
    <col width="50" customWidth="1" min="8" max="8"/>
    <col width="14" customWidth="1" min="9" max="9"/>
  </cols>
  <sheetData>
    <row r="1">
      <c r="A1" s="1" t="inlineStr">
        <is>
          <t>Rank</t>
        </is>
      </c>
      <c r="B1" s="1" t="inlineStr">
        <is>
          <t>Manager_ID</t>
        </is>
      </c>
      <c r="C1" s="1" t="inlineStr">
        <is>
          <t>Manager_Name</t>
        </is>
      </c>
      <c r="D1" s="1" t="inlineStr">
        <is>
          <t>Group_Stage_Points</t>
        </is>
      </c>
      <c r="E1" s="1" t="inlineStr">
        <is>
          <t>Knockout_Prediction_Points</t>
        </is>
      </c>
      <c r="F1" s="1" t="inlineStr">
        <is>
          <t>Futures_Points</t>
        </is>
      </c>
      <c r="G1" s="1" t="inlineStr">
        <is>
          <t>Drafted_Teams_Points</t>
        </is>
      </c>
      <c r="H1" s="1" t="inlineStr">
        <is>
          <t>Drafted_Players_Points</t>
        </is>
      </c>
      <c r="I1" s="1" t="inlineStr">
        <is>
          <t>Total_Points</t>
        </is>
      </c>
    </row>
    <row r="2">
      <c r="A2">
        <f>IF(I2="","",RANK(I2,$I$2:$I$1000,0))</f>
        <v/>
      </c>
      <c r="B2" t="inlineStr">
        <is>
          <t>M001</t>
        </is>
      </c>
      <c r="C2" t="inlineStr">
        <is>
          <t>Manager 1</t>
        </is>
      </c>
      <c r="D2">
        <f>SUMIFS(Leaderboard_1!$D:$D,Leaderboard_1!$B:$B,B2)</f>
        <v/>
      </c>
      <c r="E2">
        <f>SUMIFS(Predictions_2!$M:$M,Predictions_2!$A:$A,B2)</f>
        <v/>
      </c>
      <c r="F2">
        <f>SUMIFS(Futures!$M:$M,Futures!$A:$A,B2)</f>
        <v/>
      </c>
      <c r="G2">
        <f>SUMIFS(Draft_Board!$I:$I,Draft_Board!$A:$A,B2,Draft_Board!$E:$E,"Team")</f>
        <v/>
      </c>
      <c r="H2">
        <f>SUMIFS(Draft_Board!$I:$I,Draft_Board!$A:$A,B2,Draft_Board!$E:$E,"Player")</f>
        <v/>
      </c>
      <c r="I2">
        <f>SUM(D2:H2)</f>
        <v/>
      </c>
    </row>
    <row r="3">
      <c r="A3">
        <f>IF(I3="","",RANK(I3,$I$2:$I$1000,0))</f>
        <v/>
      </c>
      <c r="B3" t="inlineStr">
        <is>
          <t>M002</t>
        </is>
      </c>
      <c r="C3" t="inlineStr">
        <is>
          <t>Manager 2</t>
        </is>
      </c>
      <c r="D3">
        <f>SUMIFS(Leaderboard_1!$D:$D,Leaderboard_1!$B:$B,B3)</f>
        <v/>
      </c>
      <c r="E3">
        <f>SUMIFS(Predictions_2!$M:$M,Predictions_2!$A:$A,B3)</f>
        <v/>
      </c>
      <c r="F3">
        <f>SUMIFS(Futures!$M:$M,Futures!$A:$A,B3)</f>
        <v/>
      </c>
      <c r="G3">
        <f>SUMIFS(Draft_Board!$I:$I,Draft_Board!$A:$A,B3,Draft_Board!$E:$E,"Team")</f>
        <v/>
      </c>
      <c r="H3">
        <f>SUMIFS(Draft_Board!$I:$I,Draft_Board!$A:$A,B3,Draft_Board!$E:$E,"Player")</f>
        <v/>
      </c>
      <c r="I3">
        <f>SUM(D3:H3)</f>
        <v/>
      </c>
    </row>
    <row r="4">
      <c r="A4">
        <f>IF(I4="","",RANK(I4,$I$2:$I$1000,0))</f>
        <v/>
      </c>
      <c r="B4" t="inlineStr">
        <is>
          <t>M003</t>
        </is>
      </c>
      <c r="C4" t="inlineStr">
        <is>
          <t>Manager 3</t>
        </is>
      </c>
      <c r="D4">
        <f>SUMIFS(Leaderboard_1!$D:$D,Leaderboard_1!$B:$B,B4)</f>
        <v/>
      </c>
      <c r="E4">
        <f>SUMIFS(Predictions_2!$M:$M,Predictions_2!$A:$A,B4)</f>
        <v/>
      </c>
      <c r="F4">
        <f>SUMIFS(Futures!$M:$M,Futures!$A:$A,B4)</f>
        <v/>
      </c>
      <c r="G4">
        <f>SUMIFS(Draft_Board!$I:$I,Draft_Board!$A:$A,B4,Draft_Board!$E:$E,"Team")</f>
        <v/>
      </c>
      <c r="H4">
        <f>SUMIFS(Draft_Board!$I:$I,Draft_Board!$A:$A,B4,Draft_Board!$E:$E,"Player")</f>
        <v/>
      </c>
      <c r="I4">
        <f>SUM(D4:H4)</f>
        <v/>
      </c>
    </row>
    <row r="5">
      <c r="A5">
        <f>IF(I5="","",RANK(I5,$I$2:$I$1000,0))</f>
        <v/>
      </c>
      <c r="B5" t="inlineStr">
        <is>
          <t>M004</t>
        </is>
      </c>
      <c r="C5" t="inlineStr">
        <is>
          <t>Manager 4</t>
        </is>
      </c>
      <c r="D5">
        <f>SUMIFS(Leaderboard_1!$D:$D,Leaderboard_1!$B:$B,B5)</f>
        <v/>
      </c>
      <c r="E5">
        <f>SUMIFS(Predictions_2!$M:$M,Predictions_2!$A:$A,B5)</f>
        <v/>
      </c>
      <c r="F5">
        <f>SUMIFS(Futures!$M:$M,Futures!$A:$A,B5)</f>
        <v/>
      </c>
      <c r="G5">
        <f>SUMIFS(Draft_Board!$I:$I,Draft_Board!$A:$A,B5,Draft_Board!$E:$E,"Team")</f>
        <v/>
      </c>
      <c r="H5">
        <f>SUMIFS(Draft_Board!$I:$I,Draft_Board!$A:$A,B5,Draft_Board!$E:$E,"Player")</f>
        <v/>
      </c>
      <c r="I5">
        <f>SUM(D5:H5)</f>
        <v/>
      </c>
    </row>
    <row r="6">
      <c r="A6">
        <f>IF(I6="","",RANK(I6,$I$2:$I$1000,0))</f>
        <v/>
      </c>
      <c r="B6" t="inlineStr">
        <is>
          <t>M005</t>
        </is>
      </c>
      <c r="C6" t="inlineStr">
        <is>
          <t>Manager 5</t>
        </is>
      </c>
      <c r="D6">
        <f>SUMIFS(Leaderboard_1!$D:$D,Leaderboard_1!$B:$B,B6)</f>
        <v/>
      </c>
      <c r="E6">
        <f>SUMIFS(Predictions_2!$M:$M,Predictions_2!$A:$A,B6)</f>
        <v/>
      </c>
      <c r="F6">
        <f>SUMIFS(Futures!$M:$M,Futures!$A:$A,B6)</f>
        <v/>
      </c>
      <c r="G6">
        <f>SUMIFS(Draft_Board!$I:$I,Draft_Board!$A:$A,B6,Draft_Board!$E:$E,"Team")</f>
        <v/>
      </c>
      <c r="H6">
        <f>SUMIFS(Draft_Board!$I:$I,Draft_Board!$A:$A,B6,Draft_Board!$E:$E,"Player")</f>
        <v/>
      </c>
      <c r="I6">
        <f>SUM(D6:H6)</f>
        <v/>
      </c>
    </row>
    <row r="7">
      <c r="A7">
        <f>IF(I7="","",RANK(I7,$I$2:$I$1000,0))</f>
        <v/>
      </c>
      <c r="B7" t="inlineStr">
        <is>
          <t>M006</t>
        </is>
      </c>
      <c r="C7" t="inlineStr">
        <is>
          <t>Manager 6</t>
        </is>
      </c>
      <c r="D7">
        <f>SUMIFS(Leaderboard_1!$D:$D,Leaderboard_1!$B:$B,B7)</f>
        <v/>
      </c>
      <c r="E7">
        <f>SUMIFS(Predictions_2!$M:$M,Predictions_2!$A:$A,B7)</f>
        <v/>
      </c>
      <c r="F7">
        <f>SUMIFS(Futures!$M:$M,Futures!$A:$A,B7)</f>
        <v/>
      </c>
      <c r="G7">
        <f>SUMIFS(Draft_Board!$I:$I,Draft_Board!$A:$A,B7,Draft_Board!$E:$E,"Team")</f>
        <v/>
      </c>
      <c r="H7">
        <f>SUMIFS(Draft_Board!$I:$I,Draft_Board!$A:$A,B7,Draft_Board!$E:$E,"Player")</f>
        <v/>
      </c>
      <c r="I7">
        <f>SUM(D7:H7)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20" customWidth="1" min="4" max="4"/>
    <col width="28" customWidth="1" min="5" max="5"/>
    <col width="19" customWidth="1" min="6" max="6"/>
    <col width="22" customWidth="1" min="7" max="7"/>
    <col width="24" customWidth="1" min="8" max="8"/>
    <col width="26" customWidth="1" min="9" max="9"/>
    <col width="12" customWidth="1" min="10" max="10"/>
    <col width="50" customWidth="1" min="11" max="11"/>
  </cols>
  <sheetData>
    <row r="1">
      <c r="A1" s="1" t="inlineStr">
        <is>
          <t>rank</t>
        </is>
      </c>
      <c r="B1" s="1" t="inlineStr">
        <is>
          <t>manager_name</t>
        </is>
      </c>
      <c r="C1" s="1" t="inlineStr">
        <is>
          <t>total_points</t>
        </is>
      </c>
      <c r="D1" s="1" t="inlineStr">
        <is>
          <t>group_stage_points</t>
        </is>
      </c>
      <c r="E1" s="1" t="inlineStr">
        <is>
          <t>knockout_prediction_points</t>
        </is>
      </c>
      <c r="F1" s="1" t="inlineStr">
        <is>
          <t>futures_points</t>
        </is>
      </c>
      <c r="G1" s="1" t="inlineStr">
        <is>
          <t>drafted_teams_points</t>
        </is>
      </c>
      <c r="H1" s="1" t="inlineStr">
        <is>
          <t>drafted_players_points</t>
        </is>
      </c>
      <c r="I1" s="1" t="inlineStr">
        <is>
          <t>last_updated</t>
        </is>
      </c>
      <c r="K1" s="3" t="inlineStr">
        <is>
          <t>Export this sheet as CSV. last_updated reads Scoring_Constants — edit there before exporting.</t>
        </is>
      </c>
    </row>
    <row r="2">
      <c r="A2">
        <f>Leaderboard_2!A2</f>
        <v/>
      </c>
      <c r="B2">
        <f>Leaderboard_2!C2</f>
        <v/>
      </c>
      <c r="C2">
        <f>Leaderboard_2!I2</f>
        <v/>
      </c>
      <c r="D2">
        <f>Leaderboard_2!D2</f>
        <v/>
      </c>
      <c r="E2">
        <f>Leaderboard_2!E2</f>
        <v/>
      </c>
      <c r="F2">
        <f>Leaderboard_2!F2</f>
        <v/>
      </c>
      <c r="G2">
        <f>Leaderboard_2!G2</f>
        <v/>
      </c>
      <c r="H2">
        <f>Leaderboard_2!H2</f>
        <v/>
      </c>
      <c r="I2">
        <f>Scoring_Constants!$B$27</f>
        <v/>
      </c>
    </row>
    <row r="3">
      <c r="A3">
        <f>Leaderboard_2!A3</f>
        <v/>
      </c>
      <c r="B3">
        <f>Leaderboard_2!C3</f>
        <v/>
      </c>
      <c r="C3">
        <f>Leaderboard_2!I3</f>
        <v/>
      </c>
      <c r="D3">
        <f>Leaderboard_2!D3</f>
        <v/>
      </c>
      <c r="E3">
        <f>Leaderboard_2!E3</f>
        <v/>
      </c>
      <c r="F3">
        <f>Leaderboard_2!F3</f>
        <v/>
      </c>
      <c r="G3">
        <f>Leaderboard_2!G3</f>
        <v/>
      </c>
      <c r="H3">
        <f>Leaderboard_2!H3</f>
        <v/>
      </c>
      <c r="I3">
        <f>Scoring_Constants!$B$27</f>
        <v/>
      </c>
    </row>
    <row r="4">
      <c r="A4">
        <f>Leaderboard_2!A4</f>
        <v/>
      </c>
      <c r="B4">
        <f>Leaderboard_2!C4</f>
        <v/>
      </c>
      <c r="C4">
        <f>Leaderboard_2!I4</f>
        <v/>
      </c>
      <c r="D4">
        <f>Leaderboard_2!D4</f>
        <v/>
      </c>
      <c r="E4">
        <f>Leaderboard_2!E4</f>
        <v/>
      </c>
      <c r="F4">
        <f>Leaderboard_2!F4</f>
        <v/>
      </c>
      <c r="G4">
        <f>Leaderboard_2!G4</f>
        <v/>
      </c>
      <c r="H4">
        <f>Leaderboard_2!H4</f>
        <v/>
      </c>
      <c r="I4">
        <f>Scoring_Constants!$B$27</f>
        <v/>
      </c>
    </row>
    <row r="5">
      <c r="A5">
        <f>Leaderboard_2!A5</f>
        <v/>
      </c>
      <c r="B5">
        <f>Leaderboard_2!C5</f>
        <v/>
      </c>
      <c r="C5">
        <f>Leaderboard_2!I5</f>
        <v/>
      </c>
      <c r="D5">
        <f>Leaderboard_2!D5</f>
        <v/>
      </c>
      <c r="E5">
        <f>Leaderboard_2!E5</f>
        <v/>
      </c>
      <c r="F5">
        <f>Leaderboard_2!F5</f>
        <v/>
      </c>
      <c r="G5">
        <f>Leaderboard_2!G5</f>
        <v/>
      </c>
      <c r="H5">
        <f>Leaderboard_2!H5</f>
        <v/>
      </c>
      <c r="I5">
        <f>Scoring_Constants!$B$27</f>
        <v/>
      </c>
    </row>
    <row r="6">
      <c r="A6">
        <f>Leaderboard_2!A6</f>
        <v/>
      </c>
      <c r="B6">
        <f>Leaderboard_2!C6</f>
        <v/>
      </c>
      <c r="C6">
        <f>Leaderboard_2!I6</f>
        <v/>
      </c>
      <c r="D6">
        <f>Leaderboard_2!D6</f>
        <v/>
      </c>
      <c r="E6">
        <f>Leaderboard_2!E6</f>
        <v/>
      </c>
      <c r="F6">
        <f>Leaderboard_2!F6</f>
        <v/>
      </c>
      <c r="G6">
        <f>Leaderboard_2!G6</f>
        <v/>
      </c>
      <c r="H6">
        <f>Leaderboard_2!H6</f>
        <v/>
      </c>
      <c r="I6">
        <f>Scoring_Constants!$B$27</f>
        <v/>
      </c>
    </row>
    <row r="7">
      <c r="A7">
        <f>Leaderboard_2!A7</f>
        <v/>
      </c>
      <c r="B7">
        <f>Leaderboard_2!C7</f>
        <v/>
      </c>
      <c r="C7">
        <f>Leaderboard_2!I7</f>
        <v/>
      </c>
      <c r="D7">
        <f>Leaderboard_2!D7</f>
        <v/>
      </c>
      <c r="E7">
        <f>Leaderboard_2!E7</f>
        <v/>
      </c>
      <c r="F7">
        <f>Leaderboard_2!F7</f>
        <v/>
      </c>
      <c r="G7">
        <f>Leaderboard_2!G7</f>
        <v/>
      </c>
      <c r="H7">
        <f>Leaderboard_2!H7</f>
        <v/>
      </c>
      <c r="I7">
        <f>Scoring_Constants!$B$27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2026-06-10T23:01:12Z</dcterms:created>
  <dcterms:modified xsi:type="dcterms:W3CDTF">2026-06-10T23:01:12Z</dcterms:modified>
</cp:coreProperties>
</file>